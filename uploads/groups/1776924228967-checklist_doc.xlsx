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defaultThemeVersion="166925"/>
  <mc:AlternateContent xmlns:mc="http://schemas.openxmlformats.org/markup-compatibility/2006">
    <mc:Choice Requires="x15">
      <x15ac:absPath xmlns:x15ac="http://schemas.microsoft.com/office/spreadsheetml/2010/11/ac" url="C:\Users\mara.kireeti\Confederation of Indian Industry\GreenCo - Documents (1)\Checklist &amp; SOPs\Documents &amp; Checklists\GreenCo Checklists\"/>
    </mc:Choice>
  </mc:AlternateContent>
  <xr:revisionPtr revIDLastSave="11" documentId="11_0595AC6FB81237C8510738C353217A3AC8A93E44" xr6:coauthVersionLast="44" xr6:coauthVersionMax="44" xr10:uidLastSave="{3DA5050B-CAD7-4E61-BD55-3114FAD1CDE1}"/>
  <bookViews>
    <workbookView xWindow="-120" yWindow="-120" windowWidth="20730" windowHeight="11160" activeTab="8" xr2:uid="{00000000-000D-0000-FFFF-FFFF00000000}"/>
  </bookViews>
  <sheets>
    <sheet name="Summary " sheetId="12" r:id="rId1"/>
    <sheet name="EE" sheetId="5" r:id="rId2"/>
    <sheet name="WC" sheetId="8" r:id="rId3"/>
    <sheet name="RE" sheetId="6" r:id="rId4"/>
    <sheet name="GHG" sheetId="7" r:id="rId5"/>
    <sheet name="WM" sheetId="9" r:id="rId6"/>
    <sheet name="MCR" sheetId="10" r:id="rId7"/>
    <sheet name="GSC" sheetId="1" r:id="rId8"/>
    <sheet name="PSLCA" sheetId="11" r:id="rId9"/>
    <sheet name="IE" sheetId="3" r:id="rId10"/>
    <sheet name="GI" sheetId="4" r:id="rId11"/>
  </sheets>
  <externalReferences>
    <externalReference r:id="rId12"/>
  </externalReferences>
  <definedNames>
    <definedName name="_xlnm.Print_Area" localSheetId="0">'Summary '!$A$2:$G$14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29" i="11" l="1"/>
  <c r="F31" i="1"/>
  <c r="E31" i="1"/>
  <c r="E34" i="10"/>
  <c r="F34" i="10"/>
  <c r="F38" i="9"/>
  <c r="F45" i="7"/>
  <c r="F14" i="6"/>
  <c r="F33" i="8"/>
  <c r="E33" i="5"/>
  <c r="F33" i="5"/>
  <c r="F11" i="12" l="1"/>
  <c r="G10" i="12"/>
  <c r="F10" i="12"/>
  <c r="G9" i="12"/>
  <c r="G8" i="12"/>
  <c r="G7" i="12"/>
  <c r="G6" i="12"/>
  <c r="G5" i="12"/>
  <c r="G4" i="12"/>
  <c r="F4" i="12"/>
  <c r="C14" i="12"/>
  <c r="B14" i="12"/>
  <c r="E13" i="12"/>
  <c r="D13" i="12"/>
  <c r="C13" i="12"/>
  <c r="E12" i="12"/>
  <c r="D12" i="12"/>
  <c r="C12" i="12"/>
  <c r="E11" i="12"/>
  <c r="D11" i="12"/>
  <c r="C11" i="12"/>
  <c r="E10" i="12"/>
  <c r="D10" i="12"/>
  <c r="C10" i="12"/>
  <c r="E9" i="12"/>
  <c r="D9" i="12"/>
  <c r="C9" i="12"/>
  <c r="E8" i="12"/>
  <c r="D8" i="12"/>
  <c r="C8" i="12"/>
  <c r="E7" i="12"/>
  <c r="D7" i="12"/>
  <c r="C7" i="12"/>
  <c r="E6" i="12"/>
  <c r="D6" i="12"/>
  <c r="C6" i="12"/>
  <c r="E5" i="12"/>
  <c r="D5" i="12"/>
  <c r="C5" i="12"/>
  <c r="E4" i="12"/>
  <c r="D4" i="12"/>
  <c r="C4" i="12"/>
  <c r="E34" i="4"/>
  <c r="F13" i="12" s="1"/>
  <c r="F34" i="4"/>
  <c r="G13" i="12" s="1"/>
  <c r="E9" i="3"/>
  <c r="F12" i="12" s="1"/>
  <c r="F9" i="3"/>
  <c r="G12" i="12" s="1"/>
  <c r="F29" i="11"/>
  <c r="G11" i="12" s="1"/>
  <c r="E38" i="9"/>
  <c r="F8" i="12" s="1"/>
  <c r="E45" i="7"/>
  <c r="F7" i="12" s="1"/>
  <c r="E14" i="6"/>
  <c r="F6" i="12" s="1"/>
  <c r="E33" i="8"/>
  <c r="F5" i="12" s="1"/>
  <c r="D14" i="12" l="1"/>
  <c r="E14" i="12"/>
  <c r="G14" i="12"/>
  <c r="C29" i="11"/>
  <c r="C34" i="10" l="1"/>
  <c r="C38" i="9"/>
  <c r="C33" i="8"/>
  <c r="C33" i="5"/>
  <c r="C45" i="7"/>
  <c r="C14" i="6"/>
  <c r="C34" i="4" l="1"/>
  <c r="C9" i="3" l="1"/>
  <c r="C31" i="1" l="1"/>
  <c r="F9" i="12"/>
  <c r="F14" i="12" s="1"/>
</calcChain>
</file>

<file path=xl/sharedStrings.xml><?xml version="1.0" encoding="utf-8"?>
<sst xmlns="http://schemas.openxmlformats.org/spreadsheetml/2006/main" count="728" uniqueCount="623">
  <si>
    <t>Credit Number</t>
  </si>
  <si>
    <t>Parameters</t>
  </si>
  <si>
    <t>Maximum Credit Points Allocated</t>
  </si>
  <si>
    <t>Self Assessment points</t>
  </si>
  <si>
    <t>Actual Performance</t>
  </si>
  <si>
    <t>Requirement</t>
  </si>
  <si>
    <t>GSC Mandatory Requirement 1</t>
  </si>
  <si>
    <t>Identification of Critical Suppliers / Vendors</t>
  </si>
  <si>
    <t>GSC Mandatory Requirement 2</t>
  </si>
  <si>
    <t>Green Supply Chain Cell / Team</t>
  </si>
  <si>
    <t>1. Presence of a green supply chain cell / team, a cross functional one, including representatives from production, maintenance, quality, EHS, etc. in addition to purchase / procurement, training / HR and logistic team and/or third party experts
2. The green supply chain cell should have clearly defined roles and responsibilities in this regard</t>
  </si>
  <si>
    <t>GSC Credit 1</t>
  </si>
  <si>
    <t>Leadership and Strategy</t>
  </si>
  <si>
    <t>GSC Credit 1.1</t>
  </si>
  <si>
    <t>GSC Credit 1.2</t>
  </si>
  <si>
    <t xml:space="preserve">Targets, action plan and resource allocation </t>
  </si>
  <si>
    <t>1. Highlight the targets set by the unit in all the areas of green supply chain. E.g.: awareness creation, logistics, procurement, etc. Targets to be highlighted in terms of short term - &lt;1 year, medium term 1-2 years, and long term targets &gt;3 years
2. Action plan to meet the short, medium and long term targets  
3. Resources allocated for executing the targets and action plan including financial resources, man power, infrastructure and / or technology</t>
  </si>
  <si>
    <t>GSC Credit 2</t>
  </si>
  <si>
    <t xml:space="preserve">Education and Awareness Creation </t>
  </si>
  <si>
    <t>GSC Credit 2.1</t>
  </si>
  <si>
    <t>GSC Credit 2.2</t>
  </si>
  <si>
    <t>GSC Credit 3</t>
  </si>
  <si>
    <t>Resource Conservation through Supply Chain Management Systems</t>
  </si>
  <si>
    <t>GSC Credit 4</t>
  </si>
  <si>
    <t>Suppliers and Vendors Management</t>
  </si>
  <si>
    <t>GreenCo rated SMEs</t>
  </si>
  <si>
    <t xml:space="preserve">% improvement in performance over the set baseline </t>
  </si>
  <si>
    <t>Baseline development for all critical suppliers and vendors</t>
  </si>
  <si>
    <t>GSC Credit 4.1</t>
  </si>
  <si>
    <t>GSC Credit 4.2</t>
  </si>
  <si>
    <t>GSC Credit 4.3</t>
  </si>
  <si>
    <t>GSC Credit 4.4</t>
  </si>
  <si>
    <t>GSC Credit 4.5</t>
  </si>
  <si>
    <t>Supplier / vendor audits for &gt;90% of the critical suppliers / vendors</t>
  </si>
  <si>
    <t>GSC Credit 5</t>
  </si>
  <si>
    <t xml:space="preserve">Green Procurement </t>
  </si>
  <si>
    <t>GSC Credit 5.1</t>
  </si>
  <si>
    <t>GSC Credit 5.2</t>
  </si>
  <si>
    <t>Implementation of green procurement guidelines</t>
  </si>
  <si>
    <t>Purchase of green certified products or materials</t>
  </si>
  <si>
    <t>Describe with supporting the documents the purchase of green certified products or materials such as BEE star rated appliances, CII-GreenPro certified materials, GS-37 or equivalent standard certified house-keeping chemicals, FSC certified raw / packaging materials, RoHS complied products / materials etc.</t>
  </si>
  <si>
    <t>GSC Credit 6</t>
  </si>
  <si>
    <t>Supply chain efficiency improvement</t>
  </si>
  <si>
    <t>Packaging</t>
  </si>
  <si>
    <t>Logistics</t>
  </si>
  <si>
    <t>GSC Credit 6.1</t>
  </si>
  <si>
    <t>GSC Credit 6.2</t>
  </si>
  <si>
    <t>% improvement in performance of the critical suppliers with respect to the baseline framed should be monitored and points will be allocated based on the % improvement</t>
  </si>
  <si>
    <t>1. Copy of the supplier audit questionnaire 
2. Number of supplier audits carried out and the frequency of audits
3. Sample audit reports</t>
  </si>
  <si>
    <t>The company should conduct supplier recognition programs as a planned event, by considering the following; 
- evaluation criteria and questionnaire 
- awards and recognition programs</t>
  </si>
  <si>
    <t>1. Units while selecting new vendors or suppliers should ensure they are rated as per GreenCo / GreenCo SMEs guidelines or equivalent 
2. Units should encourage and support existing suppliers and vendors to implement the GreenCo rating system. Maximum points will be allocated if atleast 10% of the critical suppliers are GreenCo rated.</t>
  </si>
  <si>
    <t>Total</t>
  </si>
  <si>
    <t>1. Copy of the green procurement guidelines. Guidelines should address the following - a) Raw Material, (b) Consumables, (C ) Packaging Material, (D) Building Materials, (E ) Capital items / fixtures, (F) Housekeeping Chemicals, (G) Paints etc.
2. Describe the % of procurement for every category based on the green procurement guidelines. Support with documents, etc.</t>
  </si>
  <si>
    <t xml:space="preserve">Reduction in &gt;15% of the incoming packaging </t>
  </si>
  <si>
    <t>Reduction in &gt;30% of the incoming packaging</t>
  </si>
  <si>
    <t>Green Supply Chain (100 Points)</t>
  </si>
  <si>
    <t>IE Credit 1</t>
  </si>
  <si>
    <t>Strategy and Targets</t>
  </si>
  <si>
    <t xml:space="preserve"> </t>
  </si>
  <si>
    <t>Strategies adopted for inculcating culture of innovation</t>
  </si>
  <si>
    <t>IE Credit 2</t>
  </si>
  <si>
    <t xml:space="preserve">8 Innovation projects </t>
  </si>
  <si>
    <t>Green supply chain commitment</t>
  </si>
  <si>
    <t>Awareness creation for the suppliers, vendors, associates, etc.</t>
  </si>
  <si>
    <t>Training program for suppliers, vendors, associates, etc.</t>
  </si>
  <si>
    <t>Recognition programs of the critical suppliers / vendors</t>
  </si>
  <si>
    <t xml:space="preserve">5% improvement </t>
  </si>
  <si>
    <t>10% improvement</t>
  </si>
  <si>
    <t>15% improvement</t>
  </si>
  <si>
    <t xml:space="preserve">Improvement in packaging efficiency of the materials received from the supplier-delivered products / goods. Points will be given for the efforts taken to identify alternate materials that will also lead to reduction in packaging material. (Since the credit requirement varies from case to case, the points distribution for this credit can be kept variable) The credit is not applicable for the company's product </t>
  </si>
  <si>
    <t>Reduction in &gt;10% of the GHG emissions from transportation</t>
  </si>
  <si>
    <t>Reduction in &gt;20% of the GHG emissions from transportation</t>
  </si>
  <si>
    <t>The commitment of the top management toward greening the supply chain should be demonstrated. For instance, the availability of a green supply chain policy which will serve as a guidance document to improve the efficiency of the supply chain. The green supply chain policy can be an exclusive policy or can be present as a part of the existing larger policies.</t>
  </si>
  <si>
    <t>Highlight the education and awareness programs conducted for vendors / suppliers / distribution channels / logistics service providers, etc. for improving their efficiency
1. Cluster approach / vendor development programs, etc.
2. Targeted trainings to the suppliers
3. Trainings conducted in annual vendor meet
4. Online forum/blogs for suppliers
5. Sharing education material via email, etc.</t>
  </si>
  <si>
    <t>Highlight the various training programs carried out for suppliers, vendors, associates, etc. The organization should have a system to -
- create platforms to engage and train suppliers / vendors 
- develop programs such as cluster activities, vendor development programs, etc. 
Along with the above-mentioned details, provide more information on content of the trainings, frequency of trainings and impact of the trainings</t>
  </si>
  <si>
    <r>
      <t>1. Describe the syste</t>
    </r>
    <r>
      <rPr>
        <sz val="10"/>
        <color theme="1"/>
        <rFont val="Tahoma"/>
        <family val="2"/>
      </rPr>
      <t>ms employed for supply chain management (e.g.: software tools for supply chain transactions , customer requirement processing, purchase order processing, etc.) 
2. How does the system measure the reduction in resource intensity in the supply chain on regular basis?
3. How does the system monitor specific requirements with respect to - 
- procurement
- supplier packaging
- logistics 
- supplier audits, etc.</t>
    </r>
  </si>
  <si>
    <t>Continual improvement</t>
  </si>
  <si>
    <t>Continual improvement projects</t>
  </si>
  <si>
    <t>IE Credit 3</t>
  </si>
  <si>
    <t>Innovative projects</t>
  </si>
  <si>
    <t>Plant should have a strategy to work on innovation and define the method. Ideally, the strategy can be designed to focus on the following - 
- Invest in employees education &amp; training (through in-house experts, external experts, etc.) 
- Recognition programs for employees on contributing to innovation
- Separation of innovations from corrections and / or improvements projects
- Review, benchmark and implement best practices
- Involve senior management to assist in identification and implementation of innovation</t>
  </si>
  <si>
    <t xml:space="preserve">GI Credit 1 </t>
  </si>
  <si>
    <t>Option 1</t>
  </si>
  <si>
    <t>Option 2</t>
  </si>
  <si>
    <t xml:space="preserve">Fresh Air Ventilation </t>
  </si>
  <si>
    <t>GI Credit 1.1</t>
  </si>
  <si>
    <t>&gt;20% improvement over minimum fresh air requirement (5 points)</t>
  </si>
  <si>
    <t>&gt;30% improvement over minimum fresh air requirement (10 points)</t>
  </si>
  <si>
    <t xml:space="preserve">Air conditioned </t>
  </si>
  <si>
    <t>Opening to carpet Area Ratio &gt;= 8% (5 points)</t>
  </si>
  <si>
    <t>Opening to carpet Area Ratio &gt;= 10% (10 points)</t>
  </si>
  <si>
    <t xml:space="preserve">Naturally Conditioned </t>
  </si>
  <si>
    <t>&gt;20% improvement over minimum Air changes / hour (5 points)</t>
  </si>
  <si>
    <t>&gt;30% improvement over minimum Air changes / hour (10 points)</t>
  </si>
  <si>
    <t>Forced ventilation</t>
  </si>
  <si>
    <t>And / Or</t>
  </si>
  <si>
    <t>Note
1. The unit has to identify the type of ventilation provided and calculate fresh air ventilation accordingly
2. For areas having different types of ventilation systems, a weighted average will be arrived at</t>
  </si>
  <si>
    <t>GI Credit 1.2</t>
  </si>
  <si>
    <t>Use of paints, adhesives and sealants with low / No VOC content for interiors</t>
  </si>
  <si>
    <t>GI Credit 1.3</t>
  </si>
  <si>
    <t>Initiative taken by the company to provide transport / shuttle services  (pick-up / drop arrangement) for the employees
- 50%, employee opted (5 points)
- &gt;90% employee opted (10 points)</t>
  </si>
  <si>
    <t>The factories providing housing facility more than 40% of its employee within 5 km radius, will be eligible for 5 points. Remaining 5 points will be either on Option 1 / Option 2</t>
  </si>
  <si>
    <t>GI Credit 1.4</t>
  </si>
  <si>
    <t>Workplace safety</t>
  </si>
  <si>
    <t xml:space="preserve">Landscaping   </t>
  </si>
  <si>
    <t>Maintain Additional Green belt &gt;= 10% of CPCB's requirement</t>
  </si>
  <si>
    <t>Maintain Additional Green belt &gt;= 20% of CPCB's requirement</t>
  </si>
  <si>
    <t>Develop green belt &gt;= 50% in the unused site area (units without CPCB requirement)</t>
  </si>
  <si>
    <t>Develop green belt &gt;= 75% in the unused site area (units without CPCB requirement)</t>
  </si>
  <si>
    <t>Efforts to create and maintain biodiversity by preserving native &amp; adoptive species</t>
  </si>
  <si>
    <t>GI Credit 1.4.1</t>
  </si>
  <si>
    <t>GI Credit 1.4.2</t>
  </si>
  <si>
    <t>GI Credit 2</t>
  </si>
  <si>
    <t>GI Credit 3</t>
  </si>
  <si>
    <t>Environment sustainability efforts taken by the company beyond the fence</t>
  </si>
  <si>
    <t>GI Credit 4</t>
  </si>
  <si>
    <t>Accredited Green Professionals</t>
  </si>
  <si>
    <t xml:space="preserve">1% of total employees </t>
  </si>
  <si>
    <t>Atleast 1% of the total employees should be certified green professionals. Provide the list of certified professionals in GreenCo/IGBC/ Lead Auditors Energy auditors/LCA Practitioners/ Sustainability professionals or any other</t>
  </si>
  <si>
    <t>OR</t>
  </si>
  <si>
    <t>Green Building</t>
  </si>
  <si>
    <t>Innovative projects implemented in the past 3 years. The innovative projects needs to be classified under process innovation and design innovation.
Projects to be furnished as per the shared template and specifically include details on Title of project, Date of ideation, date of implementation, environmental benefits (Energy, Carbon, Water, Toxicity, Material), replicability, details on patent.
Every accepted innovative project will fetch 5 points.</t>
  </si>
  <si>
    <t xml:space="preserve">Utilization of Eco-friendly Materials for factory and / office building                  </t>
  </si>
  <si>
    <t>Utilization of Eco-friendly housekeeping Chemicals</t>
  </si>
  <si>
    <t>Minimization of Environmental Impact, due to employee commute to workplace</t>
  </si>
  <si>
    <t xml:space="preserve">% of employee opt for car-pooling / public transport/walk/cycle, while commuting to workplace 
- 50% employee opted (5 points)
- 90% employee opted  (10 points) </t>
  </si>
  <si>
    <t xml:space="preserve">Develop Green belt with adequate width &amp; density. Consideration will be given on the following factors while awarding points;
1) Plantation of native and / adoptive plant species 
2) Usage of Organic fertilizers, 
2) Application of Vermi Composting 
3) Development of Butterfly gardens, flower bearing trees 
4) Preference to fruit bearing trees etc. </t>
  </si>
  <si>
    <r>
      <t xml:space="preserve">Green Building 
</t>
    </r>
    <r>
      <rPr>
        <sz val="10"/>
        <color theme="1"/>
        <rFont val="Tahoma"/>
        <family val="2"/>
      </rPr>
      <t>- Units that are rated as per IGBC green factory building rating system / equivalent can choose option 1
- Units that are not IGBC green factory building rated, can attempt for option 2 for the same number of points</t>
    </r>
  </si>
  <si>
    <t>Green building 
(As per IGBC Green Factory Rating / Equivalent)</t>
  </si>
  <si>
    <t>Company should maintain key safety principles at the workplace as per 'Chapter IV on Safety' in 'The Factories Act, 1948', broadly covering the following -
• Fencing of machinery 
• Work on or near machinery in motion
• Employment of young persons on dangerous machines
• Striking gear and devices for cutting off power
• Self-acting machines
• Casing of new machinery
• Prohibition of employment of women and children near dangerous equipment
• Hoists and lifts
• Lifting machines, chains, ropes and lifting tackles
• Revolving machinery
• Pressure plant
• Floors, stairs and means of access
• Pits, sumps, openings in floors, etc.
• Excessive weights
• Protection of eyes
• Precaution against dangerous fumes, gases, etc.
• Explosive or inflammable dust, gas, etc.
• Precaution in case of fire
• Power to require specifications of defective parts or tests of stability
• Safety of buildings and machinery
• Chapter IV A - Provisions relating to hazardous processes</t>
  </si>
  <si>
    <t>Key workplace safety principles</t>
  </si>
  <si>
    <t>Efforts taken by the company to promote environment sustainability beyond the fence - Green Schools / Villages / Townships, etc.
- Environment-related projects - energy, renewable energy, waste, etc. 
- Sustenance of initiated activities / projects
Note: water-related projects are covered under WC Credit 6</t>
  </si>
  <si>
    <t xml:space="preserve">Apart from innovations, continual improvement projects also have a considerable impact on the environmental aspects of the organization. Hence, management is expected to enhance the culture of continual improvement on the shop floor.
- List of projects implemented via suggestion schemes/Kaizen already in place in the company. The project explanation must have the impact on environment, cost benefits and the benefit awarded to employee for the suggestion given. </t>
  </si>
  <si>
    <r>
      <t xml:space="preserve">Baseline performance of the critical suppliers in the relevant areas (e.g.: energy, water, waste, material, carbon, toxicity, etc.) should be framed along with a clear timeline for implementation </t>
    </r>
    <r>
      <rPr>
        <sz val="10"/>
        <color theme="1"/>
        <rFont val="Tahoma"/>
        <family val="2"/>
      </rPr>
      <t xml:space="preserve">
Guideline to frame a baseline -
• Choose and report a base year for which verifiable performance numbers are available (Specify reasons for choosing that particular year) 
• A single year can be chosen as a base year
• Also, an average of annual performance figures over several consecutive years can be chosen as the baseline figure (A multi-year average may help smooth out unusual fluctuations that would make a single year’s data unrepresentative) 
• Recalculate the baseline, if there are – 
- errors in accounting 
- changes in suppliers / vendors whose numbers were used in baseline calculation
• The base line has to be used as a basis for setting and tracking progress towards target</t>
    </r>
  </si>
  <si>
    <t>Innovation for Environment (50 Points)</t>
  </si>
  <si>
    <t>Green Infrastructure and Ecology (75 Points)</t>
  </si>
  <si>
    <t>Energy Efficiency (150 Points)</t>
  </si>
  <si>
    <t>Instruction</t>
  </si>
  <si>
    <t>The unit has to provide -
- Energy mix consisting of a pie chart showing the percentage and actual average consumption of thermal and electrical energy per month
- Energy flow diagram showing thermal and electrical energy flow in the plant including various sources of energy</t>
  </si>
  <si>
    <t xml:space="preserve">Energy Policy </t>
  </si>
  <si>
    <t>EE Mandatory Requirement 1</t>
  </si>
  <si>
    <t xml:space="preserve">Energy Management Cell &amp; Energy Manager </t>
  </si>
  <si>
    <t>EE Mandatory Requirement 2</t>
  </si>
  <si>
    <t>Renewable Energy Policy</t>
  </si>
  <si>
    <t>RE Credit 1</t>
  </si>
  <si>
    <t>RE Credit 1.1</t>
  </si>
  <si>
    <t>RE Credit 1.2</t>
  </si>
  <si>
    <t>RE Credit 2</t>
  </si>
  <si>
    <t>On-site Renewable Energy Generation (Both Electrical &amp; Thermal Energy)</t>
  </si>
  <si>
    <t>&gt;=1% substitution</t>
  </si>
  <si>
    <t>&gt;=2% substitution</t>
  </si>
  <si>
    <t>&gt;=3% substitution</t>
  </si>
  <si>
    <t>&gt;=4% substitution</t>
  </si>
  <si>
    <t>&gt;=5% substitution</t>
  </si>
  <si>
    <t>Notes</t>
  </si>
  <si>
    <t>If the company meets &gt; 80% of its energy requirement through RE  additional 5 points will be considered under innovation category</t>
  </si>
  <si>
    <t xml:space="preserve">In case the onsite substitution exceeds 5 % the balance will be accounted in RE Credit 3 </t>
  </si>
  <si>
    <t>GHG Credit 1</t>
  </si>
  <si>
    <t>GHG Credit 1.1</t>
  </si>
  <si>
    <t>GHG Credit 1.2</t>
  </si>
  <si>
    <t>GHG Credit 2</t>
  </si>
  <si>
    <t>Employee Involvement &amp; Capacity Building</t>
  </si>
  <si>
    <t>GHG Credit 2.1</t>
  </si>
  <si>
    <t>GHG Credit 2.2</t>
  </si>
  <si>
    <t>GHG Credit 3</t>
  </si>
  <si>
    <t>GHG Management Systems</t>
  </si>
  <si>
    <t>GHG Credit 3.1</t>
  </si>
  <si>
    <t>GHG Credit 3.2</t>
  </si>
  <si>
    <t>Monitoring system for mitigation efforts</t>
  </si>
  <si>
    <t>GHG Emission Intensity Reduction</t>
  </si>
  <si>
    <t>Carbon Neutral Approach</t>
  </si>
  <si>
    <t>Offset / sequestration ≥5% of total GHG emission</t>
  </si>
  <si>
    <t>Offset / sequestration ≥10% of total GHG emission</t>
  </si>
  <si>
    <t>Offset / sequestration ≥15% of total GHG emission</t>
  </si>
  <si>
    <t>Offset / sequestration ≥20% of total GHG emission</t>
  </si>
  <si>
    <t>Offset / sequestration ≥25% of total GHG emission</t>
  </si>
  <si>
    <t>Offset / sequestration ≥40% of total GHG emission</t>
  </si>
  <si>
    <t>Offset / sequestration ≥60% of total GHG emission</t>
  </si>
  <si>
    <t>Offset / sequestration ≥80% of total GHG emission</t>
  </si>
  <si>
    <t>Offset / sequestration 100% of total GHG emission</t>
  </si>
  <si>
    <t>GHG Credit 6.1</t>
  </si>
  <si>
    <t>GHG Credit 6.2</t>
  </si>
  <si>
    <t>EE Credit 1</t>
  </si>
  <si>
    <t>EE Credit 1.1</t>
  </si>
  <si>
    <t>Target Setting</t>
  </si>
  <si>
    <t>Defined process of target setting</t>
  </si>
  <si>
    <t>EE Credit 1.2</t>
  </si>
  <si>
    <t>EE Credit 1.3</t>
  </si>
  <si>
    <t>Monthly reviews pertaining to Energy Efficiency</t>
  </si>
  <si>
    <t>EE Credit 2</t>
  </si>
  <si>
    <t>EE Credit 2.1</t>
  </si>
  <si>
    <t>Strategies adopted for awareness creation &amp; employee involvement</t>
  </si>
  <si>
    <t>EE Credit 2.2</t>
  </si>
  <si>
    <t>Training program, at least once in a year</t>
  </si>
  <si>
    <t>EE Credit 2.3</t>
  </si>
  <si>
    <t>Energy scorecard</t>
  </si>
  <si>
    <t xml:space="preserve">Energy monitoring for equipment (Electrical &amp; thermal) having &gt;= 10% of total energy consumption </t>
  </si>
  <si>
    <t xml:space="preserve">Energy monitoring for equipment (Electrical &amp; thermal) having &gt;= 5% of total energy consumption </t>
  </si>
  <si>
    <t>Corrective Action Taken</t>
  </si>
  <si>
    <t>Reduction in SEC in the past 3 years</t>
  </si>
  <si>
    <t xml:space="preserve">Benchmarking with World Class Performance </t>
  </si>
  <si>
    <t>Process wise benchmark</t>
  </si>
  <si>
    <t>Process of production is among top 10 best processes of production 
OR 
Conducted benchmarking audit for all major energy consuming equipment</t>
  </si>
  <si>
    <t>At least 50% of the energy intensive equipment used in the factory is of best available market efficiency</t>
  </si>
  <si>
    <t>National/ International SEC benchmark</t>
  </si>
  <si>
    <t>Among top 10 units / Top 10% of the units at international level</t>
  </si>
  <si>
    <t>Water Policy</t>
  </si>
  <si>
    <t xml:space="preserve">Water Manager &amp; Accountability </t>
  </si>
  <si>
    <t>WC Credit 1</t>
  </si>
  <si>
    <t>WC Credit 1.1</t>
  </si>
  <si>
    <t>Target setting &amp; action plan</t>
  </si>
  <si>
    <t>WC Credit 1.2</t>
  </si>
  <si>
    <t>WC Credit 2</t>
  </si>
  <si>
    <t>WC Credit 2.1</t>
  </si>
  <si>
    <t>Awareness creation &amp; employee involvement</t>
  </si>
  <si>
    <t>WC Credit 2.2</t>
  </si>
  <si>
    <t>Training &amp; Capacity building</t>
  </si>
  <si>
    <t>WC Credit 3</t>
  </si>
  <si>
    <t>Water Balance Diagram</t>
  </si>
  <si>
    <t>WC Credit 4</t>
  </si>
  <si>
    <t>WC Credit 4.1</t>
  </si>
  <si>
    <t xml:space="preserve">≥ 5% reduction </t>
  </si>
  <si>
    <t xml:space="preserve">≥ 15% reduction </t>
  </si>
  <si>
    <t xml:space="preserve">≥ 20% reduction </t>
  </si>
  <si>
    <t>≥ 25% reduction</t>
  </si>
  <si>
    <t>WC Credit 4.2</t>
  </si>
  <si>
    <t>WC Credit 5</t>
  </si>
  <si>
    <t>WC Credit 5.1</t>
  </si>
  <si>
    <t>WC Credit 5.2</t>
  </si>
  <si>
    <t>WC Credit 6</t>
  </si>
  <si>
    <t>Augmentation of ground water beyond fence</t>
  </si>
  <si>
    <t xml:space="preserve">At least 1 project implemented on augmentation of ground water </t>
  </si>
  <si>
    <t xml:space="preserve">1: 1 recharging/collection </t>
  </si>
  <si>
    <t xml:space="preserve">1: 2 recharging/collection </t>
  </si>
  <si>
    <t xml:space="preserve">1: 3 recharging/collection </t>
  </si>
  <si>
    <t>Waste Management (Max:100 Points)</t>
  </si>
  <si>
    <t>WM Credit 1</t>
  </si>
  <si>
    <t xml:space="preserve">Leadership &amp; Strategy </t>
  </si>
  <si>
    <t xml:space="preserve">Short term &amp; long term targets </t>
  </si>
  <si>
    <t>Top management should ensure availability of  appropriate resources (financial, infrastructural, technological, manpower etc.) , for effective implementation of waste management system
The performance of the waste management system should be reviewed on a monthly basis by Environment Management Cell &amp; Unit head.</t>
  </si>
  <si>
    <t>WM Credit 2</t>
  </si>
  <si>
    <t>Training programs and capacity building</t>
  </si>
  <si>
    <t>WM Credit 3</t>
  </si>
  <si>
    <t xml:space="preserve">Solid Waste Management </t>
  </si>
  <si>
    <t>Hazardous Waste Management</t>
  </si>
  <si>
    <t>Non-Hazardous Waste Management</t>
  </si>
  <si>
    <t>WM Credit 5</t>
  </si>
  <si>
    <t>Liquid Waste Management</t>
  </si>
  <si>
    <t>Percentage reduction in process effluent discharge</t>
  </si>
  <si>
    <t>WM Credit 6</t>
  </si>
  <si>
    <t>WM Credit 6.2</t>
  </si>
  <si>
    <t>Credit Distribution</t>
  </si>
  <si>
    <t>Stack</t>
  </si>
  <si>
    <t>Category 1</t>
  </si>
  <si>
    <t>High Stack emissions , low fugitive emissions
(CPCB Mandated CEMS industry)</t>
  </si>
  <si>
    <t>Category 2</t>
  </si>
  <si>
    <t>Low stack emissions, high fugitive emission (other red category)</t>
  </si>
  <si>
    <t>Category 3</t>
  </si>
  <si>
    <t>Mixed emissions (orange category)</t>
  </si>
  <si>
    <t>Standard</t>
  </si>
  <si>
    <t>Points</t>
  </si>
  <si>
    <t>Indicative list of Pollutants to be checked</t>
  </si>
  <si>
    <t>Stack Monitoring</t>
  </si>
  <si>
    <t>Stack height at least 10% above requirement (stack height calculation)</t>
  </si>
  <si>
    <t>Ambient Monitoring</t>
  </si>
  <si>
    <t>Ambient air quality monitoring as per NAAAQ standards</t>
  </si>
  <si>
    <t>Work place monitoring (including fugitive emissions)</t>
  </si>
  <si>
    <t>Material Conservation &amp; Recycling Policy</t>
  </si>
  <si>
    <t>The company has to have a Material Conservation and Recyclability policy /statement or it can be part of other implemented environmental policy approved by the Chief Executive of the company. The policy statement must, also, include a declaration of commitment from senior management to maximize the use of recycled materials in production and packaging or utilization with clearly specified annual targets. This policy information is to be transparent and has to be shared with the employees.</t>
  </si>
  <si>
    <t>Leadership &amp; Strategy</t>
  </si>
  <si>
    <t>MCR Credit 1.1</t>
  </si>
  <si>
    <t xml:space="preserve">Short &amp; long term targets </t>
  </si>
  <si>
    <t>MCR Credit 1.2</t>
  </si>
  <si>
    <t>MCR Credit 2</t>
  </si>
  <si>
    <t>MCR Credit 2.1</t>
  </si>
  <si>
    <t>MCR Credit 3</t>
  </si>
  <si>
    <t>Systems</t>
  </si>
  <si>
    <t>MCR Credit 3.1</t>
  </si>
  <si>
    <t xml:space="preserve">
 </t>
  </si>
  <si>
    <t>MCR Credit 3.2</t>
  </si>
  <si>
    <t>MCR Credit 4</t>
  </si>
  <si>
    <t>Raw Material Conservation</t>
  </si>
  <si>
    <t>MCR Credit 4.1</t>
  </si>
  <si>
    <t>MCR Credit 4.2</t>
  </si>
  <si>
    <t>Replacement of raw materials by recycled material / waste or equivalent</t>
  </si>
  <si>
    <t>MCR Credit 5</t>
  </si>
  <si>
    <t>MCR Credit 6</t>
  </si>
  <si>
    <t>Management of Packaging Material</t>
  </si>
  <si>
    <t xml:space="preserve">MCR Credit 6.2 </t>
  </si>
  <si>
    <t>The energy management team should preferably - 
- Be a cross functional team (representatives from various departments such as operation, mechanical maintenance, electrical, instrumentation etc.) 
- Have clear responsibilities for improving energy efficiency in the plant
- Be headed by full/part time energy manager directly reporting to the head of the plant</t>
  </si>
  <si>
    <t xml:space="preserve">Highlight the methodology defined and used for setting the targets. The process of target setting should be well defined in the terms of logic behind setting of each targets. </t>
  </si>
  <si>
    <r>
      <t>Set specific targets for reduction in specific energy consumption, separately for electrical energy and thermal energy, in addition to the overall target. Targets can be set in terms of internal or national or international benchmarking.</t>
    </r>
    <r>
      <rPr>
        <b/>
        <sz val="10"/>
        <color theme="1"/>
        <rFont val="Tahoma"/>
        <family val="2"/>
      </rPr>
      <t/>
    </r>
  </si>
  <si>
    <t>Financial Resource Allocation - Spent Vs Allocated</t>
  </si>
  <si>
    <t>Energy Mix and Energy Flow Diagram</t>
  </si>
  <si>
    <t>Programs and initiatives taken by the plant team for employee involvement such as poster competitions, display of slogans, energy conservation week, incentives based on suggestion schemes arising out of kaizens, etc. should be carried out
1. Documentation of programs conducted for employee involvement and awareness creation for employees (specific to energy efficiency)
2. List of suggestions which were provided by the employees and the cost-benefit analysis of each suggestion
3. List of suggestions implemented, incentive/award/recognition given to the employees, etc.</t>
  </si>
  <si>
    <r>
      <t xml:space="preserve">Note: Transport emissions indicate upstream and downstream emissions
Initiatives taken to enhance logistics efficiency
- development of local vendors / local purchase
- influencing vendors to set up local manufacturing facility / vendor park development
- initiatives taken to minimize GHG impacts in supply chain (Milk Run System, Route Optimization, Bulk transportation, mode of transportation, Utilization of energy efficient fleets / transportation mode, Application of tools / technologies to track the logistics movement, etc.)
</t>
    </r>
    <r>
      <rPr>
        <sz val="10"/>
        <color theme="1"/>
        <rFont val="Tahoma"/>
        <family val="2"/>
      </rPr>
      <t>Note: In case the vendor park is already developed, as a part of the initial planning, the % reduction will be appropriately apportioned</t>
    </r>
  </si>
  <si>
    <t>Energy Monitoring System</t>
  </si>
  <si>
    <t>EE Credit 3</t>
  </si>
  <si>
    <r>
      <t xml:space="preserve">Install energy monitoring system and monitor both electrical &amp; thermal energy consumption at the supply and user ends. Balance the energy supply with the consumption at the individual user ends and generate a daily report for analysis. The monitoring must be done daily in standard formats and the reasons for variations, if any, must be recorded. 
Highlight - </t>
    </r>
    <r>
      <rPr>
        <b/>
        <sz val="10"/>
        <color theme="1"/>
        <rFont val="Tahoma"/>
        <family val="2"/>
      </rPr>
      <t xml:space="preserve">
</t>
    </r>
    <r>
      <rPr>
        <sz val="10"/>
        <color theme="1"/>
        <rFont val="Tahoma"/>
        <family val="2"/>
      </rPr>
      <t>1. The percentage of overall average monthly energy consumption of all the major energy consumers (until 10% of the total energy consumption) 
2. Daily monitoring sheets of energy consumer vs average energy consumption</t>
    </r>
  </si>
  <si>
    <r>
      <t>The corrective action taken to address the variance in energy consumption should be documented. The status of projects and the benefits gained must also be presented</t>
    </r>
    <r>
      <rPr>
        <b/>
        <sz val="10"/>
        <color theme="1"/>
        <rFont val="Tahoma"/>
        <family val="2"/>
      </rPr>
      <t/>
    </r>
  </si>
  <si>
    <t xml:space="preserve">Analyze the daily report and note any increase or decrease in energy consumption. Document the reasons for increase or decrease in energy consumption, for every +/- 10 % of variation from average daily consumption. For decrease, if there is no reason, then the new low will be taken as benchmark for target setting in the previous credit. </t>
  </si>
  <si>
    <t>Equipment Wise Efficiency Improvement</t>
  </si>
  <si>
    <t>Provide - 
Internal Benchmarking report and recommendations  for all major energy consuming equipment
or
Process audit report and process benchmarking data denoting that the processes followed in the plant are among top 10 in the world</t>
  </si>
  <si>
    <t xml:space="preserve">Highlight the comparison of the equipment in the plant against the top 5 efficient equipment in the market from a verified source </t>
  </si>
  <si>
    <t>The SEC of the plant must be among the top benchmarks at national and international level</t>
  </si>
  <si>
    <t>Provide -
Comparison from a verified source denoting the SEC ranking of the plant among other plants in the sector, nationwide
or
Award certificate awarded for best energy performance or similar from a reputed body</t>
  </si>
  <si>
    <t>Highlight the comparison from a verified source denoting the global ranking in SEC of the plant among other plants in the sector</t>
  </si>
  <si>
    <t>EE Credit 6</t>
  </si>
  <si>
    <t xml:space="preserve">EE Credit 6.1 </t>
  </si>
  <si>
    <t xml:space="preserve">EE Credit 6.2 </t>
  </si>
  <si>
    <t>EE Credit 5</t>
  </si>
  <si>
    <t>EE Credit 4</t>
  </si>
  <si>
    <t>EE Credit 3.1</t>
  </si>
  <si>
    <t>EE Credit 3.2</t>
  </si>
  <si>
    <t>EE Credit 3.3</t>
  </si>
  <si>
    <t>Renewable Energy (100 Points)</t>
  </si>
  <si>
    <t>RE Mandatory Requirement</t>
  </si>
  <si>
    <t>An energy policy, duly signed by the head of the unit / facility or head of the organization, indicating - 
- Clearly defined objective and commitment to systematically reduce energy consumption and to improve energy efficiency
- Targets for annual percentage reduction in energy consumption in short &amp; long term</t>
  </si>
  <si>
    <t>The specific energy consumption must be presented and compared with previous month's performance and the respective target SEC. The meeting should be headed by the plant head. In addition to SEC, the progress of various projects identified under energy efficiency and the budget spent must be reviewed.</t>
  </si>
  <si>
    <t xml:space="preserve">*Categorization of Sectors for Credit 4 </t>
  </si>
  <si>
    <t xml:space="preserve">Target setting - short term &amp; long term targets and action plan </t>
  </si>
  <si>
    <t>1. Set specific targets for increase in renewable energy. The targets shall be in terms of absolute generation and specific energy generation. 
2. Targets should be supported with projects identified for achieving the target. Projects should highlight its percentage contribution toward achieving the overall renewable energy substitution target</t>
  </si>
  <si>
    <t>Approved budget allocation for current &amp; ensuing year and monitoring mechanism</t>
  </si>
  <si>
    <r>
      <t xml:space="preserve">The plant should commit upfront financial resource to minimize the gestation period between the identification of the energy efficiency improvement projects and their implementation. To facilitate speedy implementation of projects, upfront allocation of financial resource can be done. The plant team has to be empowered to make use of the allocated resources with specific guidelines on investment / ROI / payback period. </t>
    </r>
    <r>
      <rPr>
        <b/>
        <sz val="10"/>
        <color theme="1"/>
        <rFont val="Tahoma"/>
        <family val="2"/>
      </rPr>
      <t xml:space="preserve">
</t>
    </r>
    <r>
      <rPr>
        <sz val="10"/>
        <color theme="1"/>
        <rFont val="Tahoma"/>
        <family val="2"/>
      </rPr>
      <t xml:space="preserve">1. Provide approved budget for energy efficiency projects. This can be shown as a note sheet/letter of commitment from the top management or dedicated budget head in ERP systems
2. Details of the budget allocated vs budget spent on energy efficiency projects until now in the current and past two financial years. </t>
    </r>
  </si>
  <si>
    <r>
      <t xml:space="preserve">The plant should commit upfront financial resource to minimize the gestation period between the identification of the renewable energy projects and their implementation. </t>
    </r>
    <r>
      <rPr>
        <b/>
        <sz val="10"/>
        <color theme="1"/>
        <rFont val="Tahoma"/>
        <family val="2"/>
      </rPr>
      <t xml:space="preserve">
-</t>
    </r>
    <r>
      <rPr>
        <sz val="10"/>
        <color theme="1"/>
        <rFont val="Tahoma"/>
        <family val="2"/>
      </rPr>
      <t xml:space="preserve"> Provide details of the budget allocated vs budget spent on renewable energy projects in the past three years</t>
    </r>
  </si>
  <si>
    <t>RE Credit 3*</t>
  </si>
  <si>
    <t xml:space="preserve">Offsetting both Electrical &amp; Thermal energy through Renewable Energy Sources </t>
  </si>
  <si>
    <t>In case the unit earns maximum points in RE Credit 1 &amp; 2 , then the maximum number of points than can be earned in RE Credit 3 is only 65</t>
  </si>
  <si>
    <t>For Category 3 &amp; 4, only electrical energy substitution will be considered.</t>
  </si>
  <si>
    <t>A Renewable Energy policy duly signed by the head of the unit / facility or head of the organization, highlighting - 
- Clearly defined objective and commitment to systematically increase the renewable energy share of the unit 
- Targets for annual percentage reduction in energy consumption in the short and long term</t>
  </si>
  <si>
    <t>Indicate the percentage substitution achieved through renewable energy with respect to the overall energy consumption of the unit (electrical and thermal energy)</t>
  </si>
  <si>
    <t>The renewable energy projects implemented by the company offsite can be considered. The other offsetting mechanisms such as green power procurement, REC purchase, investments can also be submitted, supported with the following, if applicable -
1. Agreement with the external power producers for power purchase 
2. If the power is wheeled through state grid, the monthly power bill containing the RE units wheeled also needs to be submitted
Refer the notes section below for allocation of points</t>
  </si>
  <si>
    <t xml:space="preserve">In case the organization is unable to implement any onsite generation, it may choose to go up to 100 % offset though offsite RE generation, in which case the max points awarded will be 80 under RE Credit 3 </t>
  </si>
  <si>
    <t>Green House Gases (100 Points)</t>
  </si>
  <si>
    <r>
      <rPr>
        <u/>
        <sz val="10"/>
        <color theme="1"/>
        <rFont val="Tahoma"/>
        <family val="2"/>
      </rPr>
      <t>&gt;</t>
    </r>
    <r>
      <rPr>
        <sz val="10"/>
        <color theme="1"/>
        <rFont val="Tahoma"/>
        <family val="2"/>
      </rPr>
      <t xml:space="preserve"> 5% in last 3 years </t>
    </r>
  </si>
  <si>
    <r>
      <rPr>
        <u/>
        <sz val="10"/>
        <color theme="1"/>
        <rFont val="Tahoma"/>
        <family val="2"/>
      </rPr>
      <t>&gt;</t>
    </r>
    <r>
      <rPr>
        <sz val="10"/>
        <color theme="1"/>
        <rFont val="Tahoma"/>
        <family val="2"/>
      </rPr>
      <t xml:space="preserve"> 10% in last 3 years </t>
    </r>
  </si>
  <si>
    <r>
      <rPr>
        <u/>
        <sz val="10"/>
        <color theme="1"/>
        <rFont val="Tahoma"/>
        <family val="2"/>
      </rPr>
      <t>&gt;</t>
    </r>
    <r>
      <rPr>
        <sz val="10"/>
        <color theme="1"/>
        <rFont val="Tahoma"/>
        <family val="2"/>
      </rPr>
      <t xml:space="preserve"> 15% in last 3 years </t>
    </r>
  </si>
  <si>
    <r>
      <rPr>
        <u/>
        <sz val="10"/>
        <color theme="1"/>
        <rFont val="Tahoma"/>
        <family val="2"/>
      </rPr>
      <t>&gt;</t>
    </r>
    <r>
      <rPr>
        <sz val="10"/>
        <color theme="1"/>
        <rFont val="Tahoma"/>
        <family val="2"/>
      </rPr>
      <t xml:space="preserve"> 20% in last 3 years </t>
    </r>
  </si>
  <si>
    <r>
      <rPr>
        <u/>
        <sz val="10"/>
        <color theme="1"/>
        <rFont val="Tahoma"/>
        <family val="2"/>
      </rPr>
      <t>&gt;</t>
    </r>
    <r>
      <rPr>
        <sz val="10"/>
        <color theme="1"/>
        <rFont val="Tahoma"/>
        <family val="2"/>
      </rPr>
      <t xml:space="preserve"> 25% in last 3 years </t>
    </r>
  </si>
  <si>
    <t xml:space="preserve">GHG Mandatory Requirement </t>
  </si>
  <si>
    <t xml:space="preserve">GHG Emission Intensity Reduction Targets </t>
  </si>
  <si>
    <t xml:space="preserve">Target setting - short term &amp; long term targets </t>
  </si>
  <si>
    <t>Action plan to achieve the targets</t>
  </si>
  <si>
    <t>GHG Credit 4</t>
  </si>
  <si>
    <t>GHG Credit 5</t>
  </si>
  <si>
    <t>For GHG intensive industries</t>
  </si>
  <si>
    <t>For non-GHG intensive industries</t>
  </si>
  <si>
    <t xml:space="preserve">
</t>
  </si>
  <si>
    <t>1. List of projects implemented in carbon offset/sequestration areas and % offset/sequestration with respect to overall emission
2. Spreadsheet calculation demonstrating emission offset values</t>
  </si>
  <si>
    <t>1. Details of carbon offset/sequestration projects implemented through renewable power generation or green area development etc.
2.Spreadsheet calculation demonstrating emission offset values</t>
  </si>
  <si>
    <t>GHG Credit 6</t>
  </si>
  <si>
    <t>Reduction in scope 3 emission intensity in the last three years</t>
  </si>
  <si>
    <t>&gt;5% Reduction in scope 3 emission intensity</t>
  </si>
  <si>
    <t>&gt;10% Reduction in scope 3 emission intensity</t>
  </si>
  <si>
    <t>&gt;15% Reduction in scope 3 emission intensity</t>
  </si>
  <si>
    <r>
      <t>Units have to inventorize for the following scope 3 emission categories to attain full points -</t>
    </r>
    <r>
      <rPr>
        <b/>
        <sz val="10"/>
        <color theme="1"/>
        <rFont val="Tahoma"/>
        <family val="2"/>
      </rPr>
      <t xml:space="preserve">
</t>
    </r>
    <r>
      <rPr>
        <sz val="10"/>
        <color theme="1"/>
        <rFont val="Tahoma"/>
        <family val="2"/>
      </rPr>
      <t xml:space="preserve">- Material logistics (upstream &amp; downstream)
- Business travel
- Waste disposal
- Employee commute </t>
    </r>
  </si>
  <si>
    <t>1. Indicate the reduction in scope 3 GHG emission intensity of the unit in the last three years  
2. List of projects implemented that has facilitated the reduction in scope 3 emission intensity</t>
  </si>
  <si>
    <t>1. Indicate the reduction in GHG emission intensity of the unit in the last three years. The credit points are based on the percentage reduction in GHG intensity achieved in scope 1 and scope 2 GHG emission. 
2. List of projects implemented that has facilitated the reduction in GHG emission intensity</t>
  </si>
  <si>
    <t>1. Implement carbon offset or carbon sequestration projects to offset the carbon emission
2. Inclusion of scope 3 emission is compulsory in GHG emission inventory while estimating the carbon neutrality of the unit</t>
  </si>
  <si>
    <t xml:space="preserve">GHG Emission Inventorization </t>
  </si>
  <si>
    <t>1. Establish a system to monitor &amp; account for the green house gas emission from various sources of operations annually based on internationally accepted protocols such as GHG protocol / ISO standards (ISO : 14064).
2. Scope 1 &amp; Scope 2 emission are mandatory for the first year of GHG emission inventory and scope 3 emission are optional. However, it is compulsory to include all the 3 scopes of emission from the second year of Inventorization.
- Scope 1: Direct GHG Emission:
Direct GHG emission occur from sources that are owned or controlled by a company, for example, emission from combustion in owned or controlled boilers, furnaces, vehicles, etc.;
- Scope 2: Electricity indirect GHG Emission:
Scope 2 accounts for GHG emission from the generation of purchased electricity consumed by a company
- Scope 3: Other indirect GHG Emission:
Other indirect GHG Emission includes transportation emission due to movement of raw material &amp; product, employee travel &amp; product dispatch
3. Provide annual GHG inventory report containing the details of GHG emission under various scopes</t>
  </si>
  <si>
    <t>Organizing capacity building programmes to relevant employees once in a year to involve them in GHG emission activities</t>
  </si>
  <si>
    <t>1. Identify training needs of the employees 
2. Conduct training program for all employees regarding climate change, GHG Inventorization, mitigation opportunities, etc. 
3. Highlight the number of employees trained per year, content of the training programs, effectiveness of the programs, etc.</t>
  </si>
  <si>
    <t xml:space="preserve">GHG emission inventorization management </t>
  </si>
  <si>
    <t>Implement a GHG management system for monitoring all three scopes of emission on a continuous basis. The GHG management system should consist of the following -
1. Systems to monitor, update &amp; validate various scopes of emission, emission factors, boundary conditions of emission inventorization covering all three scopes of emission
2. Systems to monitor implementation of GHG emission reduction projects</t>
  </si>
  <si>
    <t>Scope 3 emission inventorization</t>
  </si>
  <si>
    <t>Water Conservation (100 Points)</t>
  </si>
  <si>
    <t>WC Mandatory Requirement 1</t>
  </si>
  <si>
    <t>WC Mandatory Requirement 2</t>
  </si>
  <si>
    <r>
      <t xml:space="preserve">The company should have a water policy signed by the head of the unit or organization. The policy statement should have a commitment from the top management on water conservation or reduction in water consumption over a period of time and the strategies for sustainable water management within the fence and beyond the fence.
</t>
    </r>
    <r>
      <rPr>
        <i/>
        <sz val="10"/>
        <color theme="1"/>
        <rFont val="Tahoma"/>
        <family val="2"/>
      </rPr>
      <t>Note:</t>
    </r>
    <r>
      <rPr>
        <sz val="10"/>
        <color theme="1"/>
        <rFont val="Tahoma"/>
        <family val="2"/>
      </rPr>
      <t xml:space="preserve"> The water policy can be a part of the sustainability policy or environmental policy</t>
    </r>
  </si>
  <si>
    <t>The unit should have a dedicated water manager (part/full time) along with a cross functional team (part/full time) responsible for water management in the organization.
Highlight the list of water management activities handled and projects implemented by the water manager and cross functional team.</t>
  </si>
  <si>
    <t>Highlight the specific energy consumption of the unit on a daily, monthly and yearly basis, for the past three years 
- Specific electrical energy consumption and specific thermal energy consumption data 
- Note: In case of new plants without three years' data, atleast two years data should be provided 
- Fixed or variable energy classification and monitoring for thermal and electrical energy 
- Projects implemented for reduction of SEC in the past 3 years along with the percentage impact of each project on reduction of SEC
Note: Points will be allocated as per the percentage reduction achieved in the past three years, as per the table given below</t>
  </si>
  <si>
    <r>
      <t>Energy Score card is a process of considering energy performance</t>
    </r>
    <r>
      <rPr>
        <b/>
        <sz val="10"/>
        <color theme="1"/>
        <rFont val="Tahoma"/>
        <family val="2"/>
      </rPr>
      <t xml:space="preserve"> </t>
    </r>
    <r>
      <rPr>
        <sz val="10"/>
        <color theme="1"/>
        <rFont val="Tahoma"/>
        <family val="2"/>
      </rPr>
      <t>of the plant section as one of the criteria while appraising the performance of the plant personnel. This is applicable for plant personnel such as Energy managers, operation and maintenance engineers, operators where high manual intervention is required, who can make impact on energy efficiency of the plant.</t>
    </r>
  </si>
  <si>
    <t xml:space="preserve">1. Highlight specific targets for reduction in water consumption and regeneration or rain water harvesting. The targets should be based on specific water consumption and can be based on internal benchmarking. The process of target setting should be well defined in the terms of basis behind setting of each targets. 
2. Action plan in terms of projects to achieve the targets should be mentioned, along with the anticipated benefits </t>
  </si>
  <si>
    <t>Monthly reviews on water conservation &amp; management</t>
  </si>
  <si>
    <t>The specific water consumption must be presented and compared with previous month's performance and the respective target SWC. The meeting should be headed by the plant head. In addition to SWC, the progress of various projects identified under water conservation and the budget spent must be reviewed.</t>
  </si>
  <si>
    <t>Water balance diagram</t>
  </si>
  <si>
    <t>A complete water balance diagram must be made tracing the water from inlet to outlet. The water flow for domestic and process use must be separately shown. The overall mix of process to domestic use must be given in a pie chart. The water balance diagram is should include the following
1. Water metering for critical locations accounting for more than 80% of fresh water consumption and waste water discharge with complete accounting
a. Intake from sources – all sources to be covered
b. Fresh Water Users – all individual users of consumption accounting for more than 10% of the total water consumption
c. Monitoring of waste water generated, waste water recycled and waste water discharged as effluent
2. Collection and monitoring of water consumption on a monthly / yearly basis</t>
  </si>
  <si>
    <t>Reduction in specific fresh water consumption in the last 3 years</t>
  </si>
  <si>
    <t>≥ 10% reduction</t>
  </si>
  <si>
    <r>
      <t xml:space="preserve">Highlight the specific fresh water consumption of the unit on a daily, monthly and yearly basis, for the past three years 
- Specify process water and non-process water consumption data 
- Overall percentage of reduction calculated from the weighted averages of the reduction of domestic and process water consumption
- Projects implemented for reduction of SWC in the past 3 years along with the percentage impact of each project on reduction of SWC
</t>
    </r>
    <r>
      <rPr>
        <i/>
        <sz val="10"/>
        <color theme="1"/>
        <rFont val="Tahoma"/>
        <family val="2"/>
      </rPr>
      <t>Note:</t>
    </r>
    <r>
      <rPr>
        <sz val="10"/>
        <color theme="1"/>
        <rFont val="Tahoma"/>
        <family val="2"/>
      </rPr>
      <t xml:space="preserve"> In case of new plants without three years' data, atleast two years data should be provided </t>
    </r>
  </si>
  <si>
    <t>Best practices in water conservation</t>
  </si>
  <si>
    <t xml:space="preserve">Rain Water Harvesting(RWH) in Roof and Non-Roof Areas </t>
  </si>
  <si>
    <t>Implementation of RWH structures</t>
  </si>
  <si>
    <t>≥50% of the potential captured</t>
  </si>
  <si>
    <t>Substitution of process fresh water with harvested rain water</t>
  </si>
  <si>
    <t>Highlight water conservation initiatives carried out beyond the fence, highlighting - Resource allocation for water conservation projects outside the fence
- Details of the water augmentation projects 
- Documents to substantiate project completion and tangible and intangible benefits for the community and the company</t>
  </si>
  <si>
    <t xml:space="preserve">Total </t>
  </si>
  <si>
    <t>WM Mandatory Requirement 1</t>
  </si>
  <si>
    <t>WM Mandatory Requirement 2</t>
  </si>
  <si>
    <t xml:space="preserve">Waste Management Policy </t>
  </si>
  <si>
    <t>The waste management policy provides direction for all waste management activities in the company. A unit can have a policy exclusively for waste management or it can be a part of environment / sustainability policy that is signed by the Chief Executive of the company or unit head. It will form the basis upon which the unit can set its short and long term objectives and targets. This policy should be shared with all employees.</t>
  </si>
  <si>
    <t>Inventorization for Hazardous and Non-Hazardous Waste</t>
  </si>
  <si>
    <t xml:space="preserve">1. All types of hazardous and non-hazardous wastes (inclusive of e-waste) should be quantified at each stage of waste management highlighting quantity and source of waste 
- generation
- recycle/reuse
- treatment
- disposal 
2. Total hazardous &amp; non-hazardous waste disposed off in the last three years. Under disposal mechanism, explain if waste generated is recycled, reused after treatment, sold to third party or sent to landfill. Also explain the percentage of waste that is recycled or reused. </t>
  </si>
  <si>
    <t>WM Credit 1.1</t>
  </si>
  <si>
    <t>WM Credit 1.2</t>
  </si>
  <si>
    <t>Action plan and resource allocation</t>
  </si>
  <si>
    <t>The unit should have short and long term targets for reduction in waste disposal. Short term targets should be complied within 1-2 years period, medium term with 2 - 3 years, while long term targets can go beyond 3 years. The targets for reduction should be in terms of specific waste generation (waste / unit weight or volume of product) for all kind of wastes.</t>
  </si>
  <si>
    <t>WM Credit 2.1</t>
  </si>
  <si>
    <t>WM Credit 2.2</t>
  </si>
  <si>
    <t>Awareness creation and employee involvement</t>
  </si>
  <si>
    <t xml:space="preserve">Employee Involvement &amp; Capacity Building </t>
  </si>
  <si>
    <t>Rain water harvesting system should be implemented for roof and non-roof areas. The rain water potential shall be calculated based on the formula given in the reference guide / training. Points will be allocated based on the actual size of RWH storage pond/lake and also its recharge potential. Support with - 
- Design details of rain water harvesting systems
- Details on the increase in water table 
- Details on the actual rain water captured on-surface pond
Note: Effectiveness, maintenance/up-keep of the rain water harvesting system implemented will be verified on site</t>
  </si>
  <si>
    <t>≥65% of the potential captured</t>
  </si>
  <si>
    <t>≥80% of the potential captured</t>
  </si>
  <si>
    <t>Reduction in Specific Fresh Water Consumption in Last 3 years</t>
  </si>
  <si>
    <r>
      <rPr>
        <u/>
        <sz val="10"/>
        <color theme="1"/>
        <rFont val="Tahoma"/>
        <family val="2"/>
      </rPr>
      <t>&gt;</t>
    </r>
    <r>
      <rPr>
        <sz val="10"/>
        <color theme="1"/>
        <rFont val="Tahoma"/>
        <family val="2"/>
      </rPr>
      <t xml:space="preserve"> 3% in last 3 years </t>
    </r>
  </si>
  <si>
    <r>
      <rPr>
        <u/>
        <sz val="10"/>
        <color theme="1"/>
        <rFont val="Tahoma"/>
        <family val="2"/>
      </rPr>
      <t>&gt;</t>
    </r>
    <r>
      <rPr>
        <sz val="10"/>
        <color theme="1"/>
        <rFont val="Tahoma"/>
        <family val="2"/>
      </rPr>
      <t xml:space="preserve"> 6% in last 3 years </t>
    </r>
  </si>
  <si>
    <r>
      <rPr>
        <u/>
        <sz val="10"/>
        <color theme="1"/>
        <rFont val="Tahoma"/>
        <family val="2"/>
      </rPr>
      <t>&gt;</t>
    </r>
    <r>
      <rPr>
        <sz val="10"/>
        <color theme="1"/>
        <rFont val="Tahoma"/>
        <family val="2"/>
      </rPr>
      <t xml:space="preserve"> 9% in last 3 years </t>
    </r>
  </si>
  <si>
    <r>
      <rPr>
        <u/>
        <sz val="10"/>
        <color theme="1"/>
        <rFont val="Tahoma"/>
        <family val="2"/>
      </rPr>
      <t>&gt;</t>
    </r>
    <r>
      <rPr>
        <sz val="10"/>
        <color theme="1"/>
        <rFont val="Tahoma"/>
        <family val="2"/>
      </rPr>
      <t xml:space="preserve"> 12% in last 3 years </t>
    </r>
  </si>
  <si>
    <r>
      <t>Specific training programs should be conducted for employees to build capacities to contribute toward</t>
    </r>
    <r>
      <rPr>
        <b/>
        <sz val="10"/>
        <color theme="1"/>
        <rFont val="Tahoma"/>
        <family val="2"/>
      </rPr>
      <t xml:space="preserve"> </t>
    </r>
    <r>
      <rPr>
        <sz val="10"/>
        <color theme="1"/>
        <rFont val="Tahoma"/>
        <family val="2"/>
      </rPr>
      <t xml:space="preserve">waste management activities, which can include - 
- identification of training needs of employees and provide required training 
- impart training to all the employees over a span of two years
- identification of best practices in waste management, both cross sector and intra sector 
- industry visits to learn and understand best practices </t>
    </r>
  </si>
  <si>
    <t>Waste Management System</t>
  </si>
  <si>
    <t>WM Credit 3.1</t>
  </si>
  <si>
    <t>Waste collection, segregation, internal transport &amp; handling, storage and disposal mechanism</t>
  </si>
  <si>
    <t>1. The waste management systems such as SOP's, waste path and clearance frequencies shall be analyzed as per the requirements. The renewed SOP's and clearance frequencies shall be submitted
2. Similarly, the equipment for waste management such as bins, trucks, compactors, ETP/STP must be maintained as per maintenance schedules provided by the OEM. Provide details for maintenance of equipment for waste management as above
3. Waste management yard must have demarcated storage for hazardous waste and secondary containment for handling liquid spillage</t>
  </si>
  <si>
    <t xml:space="preserve">WM Credit 3.2 </t>
  </si>
  <si>
    <t>Audit of authorized recyclers</t>
  </si>
  <si>
    <t>The recyclers to whom the waste is given for recycling shall be audited at least annually to confirm that the waste supplied from the client is processed in an environmentally-cautious manner. The audit reports of the recyclers shall be provided for analysis</t>
  </si>
  <si>
    <t>WM Credit 4</t>
  </si>
  <si>
    <t>WM Credit 4.1</t>
  </si>
  <si>
    <t>Option 1 - Reduction in hazardous waste disposal</t>
  </si>
  <si>
    <t>Option 2 - Usage of waste as alternate fuel/raw material</t>
  </si>
  <si>
    <t>WM Credit 4.2</t>
  </si>
  <si>
    <t>WM Credit 4.3</t>
  </si>
  <si>
    <t>Zero waste to landfill</t>
  </si>
  <si>
    <t>≥ 25% reduction in specific waste disposal (5 points)</t>
  </si>
  <si>
    <t>≥ 40% reduction in specific waste disposal (10 points)</t>
  </si>
  <si>
    <t>Usage of more than 50% of waste disposed as alternate fuel / raw material (5 points)</t>
  </si>
  <si>
    <t>Usage of more than 80% of waste disposed as alternate fuel / raw material (10 points)</t>
  </si>
  <si>
    <t>The unit can use the waste generated either as alternate fuel / raw material within the facility or by sending to other industries</t>
  </si>
  <si>
    <t xml:space="preserve">The organization should aim to achieve "Zero Waste Landfill" status  for both hazardous and non hazardous waste. Proper evidence or internal audit report for the claim of Zero Waste to Landfill should be submitted. The unit management must also pay attention to the waste generated at the recycler's end. </t>
  </si>
  <si>
    <t>Highlight the specific waste disposal (hazardous waste) of the unit on a daily, monthly and yearly basis, for the past three years 
- Overall percentage of reduction of the hazardous waste disposal 
- Projects implemented for reduction of specific waste disposal in the past 3 years
Reduction in specific waste generation from process / operation, through (a) change in process / operation / raw material, (b) increase in-house recycle/ reuse,  (c ) yield improvement etc.</t>
  </si>
  <si>
    <t>≥ 25% reduction (5 points)</t>
  </si>
  <si>
    <t>≥ 40% reduction/zero effluent discharge (10 points)</t>
  </si>
  <si>
    <t>WM Credit 5.1</t>
  </si>
  <si>
    <t>WM Credit 5.2</t>
  </si>
  <si>
    <t>≥ 40% reduction in (absolute) waste generation in non-hazardous waste (10 points)</t>
  </si>
  <si>
    <t>≥ 25% reduction in (absolute) waste generation in non-hazardous waste (5 points)</t>
  </si>
  <si>
    <t>Gaseous Waste Management</t>
  </si>
  <si>
    <t>Reduction of process effluent generation</t>
  </si>
  <si>
    <t>≥ 25% recycling of process effluent in process applications</t>
  </si>
  <si>
    <t>1. Percentage reduction in process effluent discharge during the last three years 
2. The unit should meet the conditions prescribed by SPCB or relevant local authorities</t>
  </si>
  <si>
    <t>1. Percentage of process effluent recycled back into process applications</t>
  </si>
  <si>
    <t>Air quality</t>
  </si>
  <si>
    <t>Air pollution control technologies &amp; best practices</t>
  </si>
  <si>
    <t>*WM Credit 6.1 - Categorization of Industries for Air Quality</t>
  </si>
  <si>
    <t>WM Credit 6.1*</t>
  </si>
  <si>
    <t xml:space="preserve">Stack air quality at least 30% better than CPCB guidelines. </t>
  </si>
  <si>
    <r>
      <rPr>
        <b/>
        <i/>
        <sz val="10"/>
        <color theme="1"/>
        <rFont val="Tahoma"/>
        <family val="2"/>
      </rPr>
      <t>Note:</t>
    </r>
    <r>
      <rPr>
        <sz val="10"/>
        <color theme="1"/>
        <rFont val="Tahoma"/>
        <family val="2"/>
      </rPr>
      <t xml:space="preserve"> Max points will be awarded for maintaining international norms</t>
    </r>
  </si>
  <si>
    <t>Stack Monitoring - SOx, NOx, TPM, VOC (primary pollutants only) &amp; additional as per CPCB/SPCB requirements</t>
  </si>
  <si>
    <r>
      <t xml:space="preserve">Ambient Air monitoring:- Sox, NOx, TPM, VOC. Depending on the processes in the industry, the applicable secondary pollutants shall be monitored. 
</t>
    </r>
    <r>
      <rPr>
        <b/>
        <i/>
        <sz val="10"/>
        <color theme="1"/>
        <rFont val="Tahoma"/>
        <family val="2"/>
      </rPr>
      <t>Note</t>
    </r>
    <r>
      <rPr>
        <sz val="10"/>
        <color theme="1"/>
        <rFont val="Tahoma"/>
        <family val="2"/>
      </rPr>
      <t xml:space="preserve">: Sampling to be conducted per National Ambient Air Quality Standards (NAAQS) </t>
    </r>
  </si>
  <si>
    <r>
      <rPr>
        <b/>
        <i/>
        <sz val="10"/>
        <color theme="1"/>
        <rFont val="Tahoma"/>
        <family val="2"/>
      </rPr>
      <t>Note</t>
    </r>
    <r>
      <rPr>
        <sz val="10"/>
        <color theme="1"/>
        <rFont val="Tahoma"/>
        <family val="2"/>
      </rPr>
      <t>: Ambient air and work place include both the outside air and the shop floor. Please see concept of Air shed for more information</t>
    </r>
  </si>
  <si>
    <t xml:space="preserve">MCR Mandatory Requirement 1 </t>
  </si>
  <si>
    <t>Programs and initiatives taken by the plant team for employee involvement such as poster competitions, display of slogans, world environment day celebrations, incentives based on suggestion schemes arising out of kaizens, etc. should be carried out
1. Documentation of programs conducted for employee involvement and awareness creation for employees (specific to waste management)
2. List of suggestions which were provided by the employees and the cost-benefit analysis of each suggestion
3. List of suggestions implemented, incentive/award/recognition given to the employees, etc.</t>
  </si>
  <si>
    <t>MCR Credit 1</t>
  </si>
  <si>
    <t>1. Targets for raw materials, consumables and packaging material (In terms of  yield  improvement (raw material) as well as sustainable sourcing
2. Specific targets to be set for raw / packaging material substitution
3. Target for reducing specific consumption of major consumables 
4. Process of target setting needs to be explained</t>
  </si>
  <si>
    <t>1. List of projects in terms of action plan to achieve the targets
2. Allocation of resources, both in terms of manpower and finance
3. Review of resources allocated vs utilized, project status, fund utilization, etc.</t>
  </si>
  <si>
    <t>MCR Credit 2.2</t>
  </si>
  <si>
    <t>1. Training need identification
2. Number, types of capacity building and training programs conducted and its content</t>
  </si>
  <si>
    <t>1. Provide overall material balance for the process / product(s) manufactured. A pie chart indicating the representative percentages of annual consumption of raw material, consumables, packaging shall be provided
2. Type of  system used to monitor various raw material consumption, recycling &amp; reusing of materials (Material includes – raw material, consumables, spares and packaging materials)
3. Tools , techniques  &amp; Technologies used for material reduction, reuse &amp; recycling etc.</t>
  </si>
  <si>
    <t xml:space="preserve">Describe the monitoring system for raw material consumption and yield improvement, its review mechanism and substantiate with cases </t>
  </si>
  <si>
    <t xml:space="preserve">Framework for material conservation </t>
  </si>
  <si>
    <t>Systematic monitoring plans</t>
  </si>
  <si>
    <t>Percentage reduction in specific raw material consumption</t>
  </si>
  <si>
    <r>
      <t xml:space="preserve">1. Reduction in specific raw material consumption in the last three years </t>
    </r>
    <r>
      <rPr>
        <sz val="10"/>
        <color rgb="FF00B050"/>
        <rFont val="Tahoma"/>
        <family val="2"/>
      </rPr>
      <t>(Provide the absolute and specific numbers to arrive at a weighted average)</t>
    </r>
    <r>
      <rPr>
        <sz val="10"/>
        <color theme="1"/>
        <rFont val="Tahoma"/>
        <family val="2"/>
      </rPr>
      <t xml:space="preserve">
2. List of projects implemented in achieving the reduction</t>
    </r>
  </si>
  <si>
    <t>Use of Recycled material/waste or equivalent in the last three years (only raw material and not including fuel). The company should substitute the virgin material consumption in their process / product, through recycled / alternate / waste material or equivalent. Moreover, the focus should be usage for more eco-friendly, recyclable, renewable materials, rather than non-renewable ones</t>
  </si>
  <si>
    <t>≥3% reduction in raw material consumption (5 points)</t>
  </si>
  <si>
    <t>≥9% reduction in raw material consumption (10 points)</t>
  </si>
  <si>
    <t>≥12% reduction in raw material consumption (15 points)</t>
  </si>
  <si>
    <t>≥15% reduction in raw material consumption (20 points)</t>
  </si>
  <si>
    <t>≥15% usage of recycled / waste material or equivalent (5 points)</t>
  </si>
  <si>
    <t>≥20% usage of recycled / waste material or equivalent (10 points)</t>
  </si>
  <si>
    <t>≥25% usage of recycled / waste material or equivalent (15 points)</t>
  </si>
  <si>
    <t>Specific Reduction in Consumables</t>
  </si>
  <si>
    <t xml:space="preserve">MCR Credit 6.1 </t>
  </si>
  <si>
    <t>Reduction in packaging material</t>
  </si>
  <si>
    <t xml:space="preserve">1. List of different packaging materials used in the plant
2. Initiatives taken by the company to reduce consumption of packaging material
3. Percentage reduction in packaging material used </t>
  </si>
  <si>
    <t>1. Initiatives taken by the company to increase the recycled content of packaging material
2. Percentage recycled content in various packing material
3. Test certificate for recycled content in the packaging material</t>
  </si>
  <si>
    <t>≥15% reduction in packaging material (5 points)</t>
  </si>
  <si>
    <t>≥30% reduction in packaging material (10 points)</t>
  </si>
  <si>
    <t>≥20% recycled content in packaging material (5 points)</t>
  </si>
  <si>
    <t>≥40% recycled content in packaging material (10 points)</t>
  </si>
  <si>
    <t>Recycled content in packaging material</t>
  </si>
  <si>
    <t>≥5% reduction in consumables (5 points)</t>
  </si>
  <si>
    <t>≥10% reduction in consumables (10 points)</t>
  </si>
  <si>
    <t>≥15% reduction in consumables (15 points)</t>
  </si>
  <si>
    <t>Material Conservation, Recycling &amp; Recyclability  (100 Points)</t>
  </si>
  <si>
    <t>Highlight the waste generation (non-hazardous) of the unit on a daily, monthly and yearly basis, for the past three years 
- Overall percentage of reduction of the non-hazardous waste generation
- Projects implemented for reduction of waste generation in the last three years through a) change in process / operation / raw material, b) increase in-house recycle/ reuse, c) yield improvement, etc.</t>
  </si>
  <si>
    <t>1. The unit should develop appropriate training and capacity building plan
2. Records of trainings (training calendar, feedback, effectiveness, up gradation of skill matrix etc.) to be maintained
3. Awareness creation on materials used in the plant and their recyclability's and impact on environment. Suggestion schemes and Kaizen's for material efficiency and substitution</t>
  </si>
  <si>
    <t>Percentage reduction in domestic / sewage waste generation</t>
  </si>
  <si>
    <t>1. Percentage reduction in sewage waste generation during the last three years 
2. The unit should meet the conditions prescribed by SPCB or relevant local authorities</t>
  </si>
  <si>
    <t xml:space="preserve">≥ 25% reduction of sewage waste generation / Zero liquid discharge </t>
  </si>
  <si>
    <t>1. 100% recycling of sewage waste water has to be reused in process / domestic applications in the last three years
2. More weightage will be given for process requirement substitution in addition to gardening</t>
  </si>
  <si>
    <t xml:space="preserve">100% recycling of sewage waste for process / domestic application </t>
  </si>
  <si>
    <r>
      <t xml:space="preserve">Air emissions shall consist of 2 parameters -
1. Stack: All point sources with a stack to extract the pollutants
2. Ambient/Fugitive: The emissions coming out from processes as general or from other small equipment. Fugitive emissions are not extracted from stack. Hence, ambient air quality is measured. 
</t>
    </r>
    <r>
      <rPr>
        <b/>
        <i/>
        <sz val="10"/>
        <color theme="1"/>
        <rFont val="Tahoma"/>
        <family val="2"/>
      </rPr>
      <t xml:space="preserve">Note: </t>
    </r>
    <r>
      <rPr>
        <sz val="10"/>
        <color theme="1"/>
        <rFont val="Tahoma"/>
        <family val="2"/>
      </rPr>
      <t xml:space="preserve">Depending upon the category of the industry in the table below, the points for ambient and stack monitoring shall be arrived at </t>
    </r>
  </si>
  <si>
    <t>PSLCA Credit 1</t>
  </si>
  <si>
    <t xml:space="preserve">Leadership and Strategy </t>
  </si>
  <si>
    <t>PSLCA Credit 1.1</t>
  </si>
  <si>
    <t>PSLCA Credit 1.2</t>
  </si>
  <si>
    <t>PSLCA Credit 2</t>
  </si>
  <si>
    <t>Life Cycle Aspects</t>
  </si>
  <si>
    <t xml:space="preserve">External LCA study </t>
  </si>
  <si>
    <t>PSLCA Credit 3</t>
  </si>
  <si>
    <t>Product Responsibility Management</t>
  </si>
  <si>
    <t>PSLCA Credit 3.1</t>
  </si>
  <si>
    <t>PSLCA Credit 3.2</t>
  </si>
  <si>
    <t>System to capture customer feedback</t>
  </si>
  <si>
    <t>PSLCA Credit 3.3</t>
  </si>
  <si>
    <t>PSLCA Credit 4</t>
  </si>
  <si>
    <t>PSLCA Credit 4.1</t>
  </si>
  <si>
    <t>Stakeholder communication</t>
  </si>
  <si>
    <t>PSLCA Credit 4.2</t>
  </si>
  <si>
    <t>Detailed Environmental Product Declaration for Products</t>
  </si>
  <si>
    <t>Self declaration of environmental footprint (Type 2)</t>
  </si>
  <si>
    <t>Program for verification of the self environment product declaration by approved agencies</t>
  </si>
  <si>
    <t xml:space="preserve">Environmental product declaration (Type 3) 
</t>
  </si>
  <si>
    <t>PSLCA Credit 5</t>
  </si>
  <si>
    <t>PSLCA Credit 5.1</t>
  </si>
  <si>
    <t xml:space="preserve">Products </t>
  </si>
  <si>
    <t>PSLCA Credit 5.2</t>
  </si>
  <si>
    <t>Process</t>
  </si>
  <si>
    <t>PSLCA Credit 6</t>
  </si>
  <si>
    <t>Extended Producer Responsibility</t>
  </si>
  <si>
    <t>PSLCA Credit 7</t>
  </si>
  <si>
    <t xml:space="preserve"> Product Stewardship &amp; Life Cycle Aspects (125 points)</t>
  </si>
  <si>
    <t>Targets and action plan</t>
  </si>
  <si>
    <t>Strategy &amp; commitment</t>
  </si>
  <si>
    <t>Company should develop the target as well as time-based action plan for -
1. Conducting LCA study for their product(s) within a given time frame vis-a-vis an action plan for conducting the LCA study (Objective of study, Boundary of study, data requirements, literature review, resource allocation, etc.)
2. Action plan for reducing the negative impact of the product/services, minimize/eliminate the hazardous/toxic substance(s), develop Environmental Product Declaration (EPD) for the product(s), etc.</t>
  </si>
  <si>
    <t>Internal life cycle assessment (LCA) study</t>
  </si>
  <si>
    <t>Conduct Life Cycle Assessment study for their product(s), by internal technical team, considering one of the following product boundaries -
a. Gate to Gate      
b. Cradle to Gate  
c. Cradle to cradle 
To conduct internal LCA study, companies should (a) develop the employees' capability, (b) can use openly available software or external software tools such as Gabi, Simapro with a clear scope &amp; boundary</t>
  </si>
  <si>
    <t>Peer review of external LCA study</t>
  </si>
  <si>
    <t>Ensure product quality and conduct environment risk assessment of the product during transport, handling, storage, use and disposal phase</t>
  </si>
  <si>
    <t xml:space="preserve">1.  Companies should develop system to ensure that the quality of the products and services is being maintained until its final delivery to the end user. Provide the details of the quality management systems implemented by the company for reducing waste / rejection during transport, handling, storage, use and disposal phase
2. Companies should develop a system for evaluating the environmental risk associated during transport, handling, storage, use and disposal of the product
3. Documentation of all the aspects related to Quality, Safety, Health and Environment faced by the customer during the usage and at the end of life of the product </t>
  </si>
  <si>
    <t>Environmental impact reduction based on LCA (Carbon/Material/Water/Toxicity)</t>
  </si>
  <si>
    <t>Communicating with Stakeholders</t>
  </si>
  <si>
    <t>Verified declaration of environmental footprint (Type 1)
or
Adhering to Environment Labelling programs such as CII-GreenPro, Ecolabel, as applicable</t>
  </si>
  <si>
    <t>Companies are encouraged to publish self-declared environmental claim as a part of EPD</t>
  </si>
  <si>
    <t>Reduction in Materials of Concern</t>
  </si>
  <si>
    <t>Design for environment</t>
  </si>
  <si>
    <t>PSLCA Credit 6.1</t>
  </si>
  <si>
    <t>PSLCA Credit 2.1</t>
  </si>
  <si>
    <t>PSLCA Credit 2.2</t>
  </si>
  <si>
    <t>PSLCA Credit 2.3</t>
  </si>
  <si>
    <t>PSLCA Credit 6.2</t>
  </si>
  <si>
    <t>PSLCA Credit 6.3</t>
  </si>
  <si>
    <t>Product take back and recycling</t>
  </si>
  <si>
    <t>Safe disposal</t>
  </si>
  <si>
    <t>Company should have a system for product take back which will involve collection, environmentally sound treatment of collected products, use of products and materials in the form of reuse and recycling. To ensure, companies should ensure the following; 
1. Take back programs for products such as remanufacture &amp; repair programs, upgrading programs, etc.
2. Evidence of product take back or any other EPR process resulting in Circular Economy based on the % products covered by the process</t>
  </si>
  <si>
    <t>Companies should employ an environmental friendly treatment procedure or method to dispose off products which cannot be reused or recycled. The disposal method for the product should be as per applicable laws and regulations</t>
  </si>
  <si>
    <t xml:space="preserve">Engagements to voluntary codes and standards and also directives for reducing environmental impacts </t>
  </si>
  <si>
    <t>Company shall adopt any voluntary engagements &amp; codes such as GRI Sustainability standards, CII Mission on Sustainability, Carbon Disclosure Project (CDP), FSC certification, Cement Sustainability, Responsible Care or any other voluntary engagements &amp; codes which are sector/industry specific</t>
  </si>
  <si>
    <t>Note: In case, the unit has achieved its best performance figures (e.g. one of the lowest SEC at National level) and hence is not able to demonstrate high percentage reduction, the unit is eligible for maximum points under this credit</t>
  </si>
  <si>
    <t>Equipment wise efficiency monitoring and improvement</t>
  </si>
  <si>
    <t>Among top 10 Units / Top 10% of the units at national level 
(National - Won any Energy Awards by premier institutions such as Govt of India, CII, IEA, BEE etc. : 2 points)</t>
  </si>
  <si>
    <t>Programs and initiatives taken by the plant team for employee involvement such as poster competitions, display of slogans, world water day, incentives based on suggestion schemes arising out of kaizens, etc. should be carried out
1. Documentation of programs conducted for employee involvement and awareness creation for employees (specific to water conservation)
2. List of suggestions which were provided by the employees and the cost-benefit analysis of each suggestion
3. List of suggestions implemented, incentive/award/recognition given to the employees, etc.</t>
  </si>
  <si>
    <r>
      <t>Specific training programs should be conducted for employees to build capacities to contribute toward</t>
    </r>
    <r>
      <rPr>
        <b/>
        <sz val="10"/>
        <color theme="1"/>
        <rFont val="Tahoma"/>
        <family val="2"/>
      </rPr>
      <t xml:space="preserve"> </t>
    </r>
    <r>
      <rPr>
        <sz val="10"/>
        <color theme="1"/>
        <rFont val="Tahoma"/>
        <family val="2"/>
      </rPr>
      <t xml:space="preserve">water conservation activities, which can include - 
- identification of training needs of employees and provide required training 
- impart advanced training to all the employees who are directly involved in identification and implementation of water conservation projects 
- identification of best practices in water conservation, both cross sector and intra sector 
- industry visits to learn and understand best practices </t>
    </r>
  </si>
  <si>
    <r>
      <t>Specific training programs should be conducted for employees to build capacities to contribute toward</t>
    </r>
    <r>
      <rPr>
        <b/>
        <sz val="10"/>
        <color theme="1"/>
        <rFont val="Tahoma"/>
        <family val="2"/>
      </rPr>
      <t xml:space="preserve"> </t>
    </r>
    <r>
      <rPr>
        <sz val="10"/>
        <color theme="1"/>
        <rFont val="Tahoma"/>
        <family val="2"/>
      </rPr>
      <t>energy efficiency activities, which can include - 
- identification of training needs of employees and provide required training 
- impart advanced training to all the employees who are directly involved in identification &amp; implementation of encon projects and members of encon cell
- identification of best practices in energy efficiency, both cross sector and intra sector 
- industry visits to learn and understand best practices 
- encourage employees to attempt for energy auditor/energy manager or similar courses</t>
    </r>
  </si>
  <si>
    <t>Note: In case, the unit has achieved its best performance figures (e.g. National best within the sector) and hence is not able to demonstrate high percentage reduction, the unit is eligible for maximum points under this credit</t>
  </si>
  <si>
    <t xml:space="preserve">Best practices that can be followed for water conservation are given for reference. Note that the list is not exhaustive and is presented only for reference. 
1. Water Stress Study 
2. Water-Efficient Landscaping &amp; Irrigation practices 
3. Use of Water Management Tools such as WATSCAN
Allocation of points will be based on the efforts and the outcomes/benefits achieved by implementing best practices </t>
  </si>
  <si>
    <t>1. Target setting for emission should be on the basis of emission intensity or absolute emission reduction from the baseline year
2. Short term targets - 1 – 2 years &amp; long term targets - beyond 3 years
3. Highlight action plan in terms of emission mitigation opportunities to reduce the GHG emission levels, indicating analysis behind project identification and anticipated benefits (tangible and non-tangible)
Approach &amp; Methodology
Based on the inventorization study, the present emission / emission intensity level, major emission source(s) / activities can be identified. Current emission intensity / level can then be compared with the national / international benchmark for similar unit / facility for setting the targets.
There are various ways to identify the emission reduction options set as short term &amp; long term targets. Few examples for emission reduction opportunities are:
Scope1: Process / product improvement changes, technology up-gradation &amp; altering the energy source
Scope 2: Energy efficiency projects, renewable energy substitution etc.
Scope 3: Fuel efficient vehicles, Logistics optimization &amp; supplier emission reduction Prioritize emission mitigation opportunities by minimum investment and maximum reduction. All the minimum investment for emission reduction could be taken for achieving short term targets and higher investments as long term targets.</t>
  </si>
  <si>
    <t>Awareness creation for all employees on green house gas emission can be organized through organizing contests, environmental week celebrations, screening movies on climate change, etc.</t>
  </si>
  <si>
    <t>5
10</t>
  </si>
  <si>
    <t xml:space="preserve">Ambient &amp; workplace emission </t>
  </si>
  <si>
    <t xml:space="preserve">Daily variance analysis </t>
  </si>
  <si>
    <t>The harvested rain water has to be used in the process with minimum treatment
Note: Recharge to ground wells, bore wells, etc. will not be awarded points</t>
  </si>
  <si>
    <t>Performance evaluation of the energy intensive equipment need to be carried out and recorded. The equipment accounting for major consumption i.e. 80% of the total energy consumption of the plant needs to be considered for performance evaluation, supported with -
- Consumption details of energy intensive equipment i.e. equipment consuming 80% of the total energy consumption in the plant
- Performance evaluation of at least top five energy consuming equipment. e.g. furnace efficiency, kW/CFM of Air compressors, kW/TR of ACs etc.) to be periodically monitored. 
- Display of major equipment (having more than 5% of the plant’s consumption) (such as air compressors, furnaces etc.) must have a display of shift wise energy consumed and all operators on shift
Note: The points will be allocated based on the deviation of the present efficiency of the equipment from the design efficiency or the best efficiency of the equipment available in the market</t>
  </si>
  <si>
    <t>Process benchmarking data needs to be compared both internally and sector wise, or.
Benchmarking audit for all major energy consuming equipment to be conducted</t>
  </si>
  <si>
    <t>1. The list of major consumables and its specific intensity consumption to be provided 
2. The company should optimize / reduce specific consumption of major consumables (lube oil, grease, coolants, chemicals &amp; etc.), office stationary items, through in-house recycle, reuse etc.</t>
  </si>
  <si>
    <t>1. List all of vendors / suppliers / associates, etc. 
2. Describe the method of identification of Critical Suppliers/ Vendors for Green Supply chain program. The selection may be based on Environmental impact, criticality, geography, SME status etc.
3. Addition of vendors / associates / service providers involved in waste management and recycling (e.g.: e-waste recycler, hazardous waste management company, etc.) under critical suppliers / vendors</t>
  </si>
  <si>
    <r>
      <t>The top management can demonstrate their commitment toward product stewardship and life cycle thinking using the following approach -
1. Use of LCA as a tool for product design / sustainability
2. Commitment to LCA by adding its methodology to any of the policies concerning environment 
3</t>
    </r>
    <r>
      <rPr>
        <sz val="10"/>
        <color indexed="8"/>
        <rFont val="Tahoma"/>
        <family val="2"/>
      </rPr>
      <t>. Strategy for incorporation of Safety, Health and Environmental aspects at the design phase of their product(s) (e.g. DFE, Eco-design etc.), as well as ensure the quality of the product(s) (</t>
    </r>
    <r>
      <rPr>
        <i/>
        <sz val="10"/>
        <color indexed="8"/>
        <rFont val="Tahoma"/>
        <family val="2"/>
      </rPr>
      <t>as its intended for</t>
    </r>
    <r>
      <rPr>
        <sz val="10"/>
        <color indexed="8"/>
        <rFont val="Tahoma"/>
        <family val="2"/>
      </rPr>
      <t>) till its lifetime / shelf-life (</t>
    </r>
    <r>
      <rPr>
        <i/>
        <sz val="10"/>
        <color indexed="8"/>
        <rFont val="Tahoma"/>
        <family val="2"/>
      </rPr>
      <t>to be defined by the company</t>
    </r>
    <r>
      <rPr>
        <sz val="10"/>
        <color indexed="8"/>
        <rFont val="Tahoma"/>
        <family val="2"/>
      </rPr>
      <t>)
4. Strategy for managing the end-of-life of the product(s)
5. Strategy to communicate to the customers about the importance of their product(s), including the use of product efficiently, safely and with the least environmental impact as well as scientific disposal at the end of life
6. Strategy to influence customer / consumer behavior of proper handling, storage, usage, transportation and scientific disposal (</t>
    </r>
    <r>
      <rPr>
        <i/>
        <sz val="10"/>
        <color indexed="8"/>
        <rFont val="Tahoma"/>
        <family val="2"/>
      </rPr>
      <t>wherever applicable</t>
    </r>
    <r>
      <rPr>
        <sz val="10"/>
        <color indexed="8"/>
        <rFont val="Tahoma"/>
        <family val="2"/>
      </rPr>
      <t>) of product(s), etc.</t>
    </r>
  </si>
  <si>
    <t xml:space="preserve">Companies can use internally trained experts or engage external LCA experts to conduct the LCA study using external verified software tools such as Gabi, Simapro, etc. </t>
  </si>
  <si>
    <t>LCA study shall be reviewed by a third party based on the ISO 14040 &amp;14044 standards. The study report must be used in some projects relating to improvement of bottom line and/or environmental footprint of the company</t>
  </si>
  <si>
    <t>1.Establish system to capture customer feedback
2. Brief on design changes or process changes as a result of customer feedback to be documented
3. In case of any complaints on the containers/content of the product -
- the product has to be withdrawn from the supply chain 
- failure analysis has to be done 
- comparison with initial design/pilot test reports has to be done (E.g.: Destructive testing and non destructive testing parameters) so that recurrence of failure can be avoided
- Detailed procedures on this to be made available</t>
  </si>
  <si>
    <t>Based upon the LCA study, companies should identify 
- potential economic, social, environment risks &amp; opportunities at each stage of the life cycle for products 
- manage/reduce the environmental impacts by a significant amount over a specified timeline. The reduction can be in terms of Acidification, Eutrophication, Global warming potential, Ozone Depletion, Photochemical smog.
Note: Companies should submit the details of projects identified / implemented / under implementation, for reduction in environmental impacts of any of the impact categories</t>
  </si>
  <si>
    <r>
      <t>1. Informing consumers about the environmental attributes of product
(a) explaining how to use the product efficiently, (b) "Dos and Don'ts, (c) Labels and symbols that are indicative of standards and regulations that the product meets
2. Encouraging and assisting consumers to dispose of  product in a responsible manner at the end of its life, for example in a litter bin, through a recycling program or home composting system etc. 
3. Programs to educate the consumers on the health , safety  environmental aspects of product</t>
    </r>
    <r>
      <rPr>
        <sz val="10"/>
        <color indexed="30"/>
        <rFont val="Tahoma"/>
        <family val="2"/>
      </rPr>
      <t xml:space="preserve">
</t>
    </r>
    <r>
      <rPr>
        <sz val="10"/>
        <rFont val="Tahoma"/>
        <family val="2"/>
      </rPr>
      <t>4. Communication on improvement of Product design/working together with customer for improving the product design</t>
    </r>
  </si>
  <si>
    <t>Type III environmental declarations present quantified environmental information on the life cycle of a product to enable comparisons between products fulfilling the same function</t>
  </si>
  <si>
    <t>List of raw materials and chemicals used in manufacturing process and products manufactured with clear demonstration of RoHS or REACH compliant or IARC(international association for research on cancer) or European blacklist compliant or Greylist of EU's
1. List of hazardous substances present in the product for all products with concentrations - for the present the following may be included: Pb, Hg, Cr(VI), Cd, PBB, PBBE, Halogenated hydrocarbons, Sb, As, Be, Benzene, Toluene, Phthalates etc., may be included 
2. Substances of concern used in the process: e.g. trichloroethylene, carbon tetrachloride, perchloroethylene, Cellosolve, Cellosolve acetate
3. Compliance status with respect to customer requirements, standards and regulations vis-a-vis the substances for each of the products 
4. Results achieved in the last three years on elimination of hazardous substances - company policy or guidelines as a part of the design process
5. Voluntary elimination targets for each of the substances of concern</t>
  </si>
  <si>
    <r>
      <rPr>
        <b/>
        <sz val="10"/>
        <rFont val="Tahoma"/>
        <family val="2"/>
      </rPr>
      <t xml:space="preserve">Sustainable Design (To reduce negative impacts of the products/service) 
</t>
    </r>
    <r>
      <rPr>
        <sz val="10"/>
        <rFont val="Tahoma"/>
        <family val="2"/>
      </rPr>
      <t>Companies  should indicate the various modifications adopted in new and existing products or processes to reduce the negative impact during procurement, manufacturing and use of the product. For this, the companies should ensure the following -
1. Demonstrate life cycle considerations in the product design even in the absence of LCA study
2. Demonstrate new products' design change to incorporate learnings from LCA study
Some of the principles of Design for Environment - 
1. Design for manufacturability
2. Design for resource efficiency / dematerialization
3. Design for recycling 
4. Design for remanufacture / reconditioning 
5. Design for reduction of substances of concern
6. Design for longevity
7. Design for dis-assembly, etc.</t>
    </r>
  </si>
  <si>
    <t>5X8</t>
  </si>
  <si>
    <t>Parameter</t>
  </si>
  <si>
    <t xml:space="preserve">Max Possible </t>
  </si>
  <si>
    <t xml:space="preserve">Preliminary Assessment Points </t>
  </si>
  <si>
    <t>Pending Points</t>
  </si>
  <si>
    <t>Preliminary Assessment 2018</t>
  </si>
  <si>
    <t>Energy Efficiency</t>
  </si>
  <si>
    <t>Water Conservation</t>
  </si>
  <si>
    <t xml:space="preserve">Renewable Energy </t>
  </si>
  <si>
    <t>Greenhouse Gas Emissions</t>
  </si>
  <si>
    <t xml:space="preserve">Waste Management </t>
  </si>
  <si>
    <t xml:space="preserve">Material Conservation, Recycling and Recyclability </t>
  </si>
  <si>
    <t>Green Supply Chain</t>
  </si>
  <si>
    <t xml:space="preserve">Self / Preliminary Assessment (V3.0)
</t>
  </si>
  <si>
    <t xml:space="preserve">Final Assessment / Actual Performance (V3.0)
</t>
  </si>
  <si>
    <t>Product Stewardship &amp; Life Cycle Assessment</t>
  </si>
  <si>
    <t>Innovation for Environment</t>
  </si>
  <si>
    <t>Green Infrastructure and Ecology</t>
  </si>
  <si>
    <t>GreenCo Rating System (Version 3.0)</t>
  </si>
  <si>
    <t xml:space="preserve">Innovation Table </t>
  </si>
  <si>
    <t>Type of Innovation</t>
  </si>
  <si>
    <t>Product/Process/Business Model</t>
  </si>
  <si>
    <t>Environmental Focus</t>
  </si>
  <si>
    <t>GreenCo Parameter addressed in the Innovation</t>
  </si>
  <si>
    <t xml:space="preserve">Environmental Impact of the innovation on the GreenCo Parameters addressed (Max 3) </t>
  </si>
  <si>
    <t xml:space="preserve">Explain with calculations and comparison with present technology/model being used(in 100 words) </t>
  </si>
  <si>
    <t>Intangible benefits of the Project</t>
  </si>
  <si>
    <t>Max 100 Words</t>
  </si>
  <si>
    <t xml:space="preserve">Unique Factor </t>
  </si>
  <si>
    <t>Uniqueness of Project</t>
  </si>
  <si>
    <t>First in world/Horizontal/Vertical</t>
  </si>
  <si>
    <t>How is it better than Best Available Technology or present Business Model in the market</t>
  </si>
  <si>
    <t>Patent Protection</t>
  </si>
  <si>
    <t>Yes/No</t>
  </si>
  <si>
    <t>Patent Owned by company</t>
  </si>
  <si>
    <t>Technology Readiness Level(TRL) of the technology (for product/process innovation)</t>
  </si>
  <si>
    <t>01~05</t>
  </si>
  <si>
    <t>Any other IP on the innovation</t>
  </si>
  <si>
    <t>Replicability of the project</t>
  </si>
  <si>
    <t>Project timeline</t>
  </si>
  <si>
    <t>Start Date ~ End date</t>
  </si>
  <si>
    <t>Cost Benefits of the Project(IRR/NPV)</t>
  </si>
  <si>
    <t>Is the IRR/NPV typical of non-innovative projects in the company</t>
  </si>
  <si>
    <t xml:space="preserve">Yes/No </t>
  </si>
  <si>
    <t>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</si>
</sst>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0"/>
      <name val="Tahoma"/>
      <family val="2"/>
    </font>
    <font>
      <sz val="10"/>
      <name val="Tahoma"/>
      <family val="2"/>
    </font>
    <font>
      <b/>
      <sz val="10"/>
      <color indexed="8"/>
      <name val="Tahoma"/>
      <family val="2"/>
    </font>
    <font>
      <sz val="10"/>
      <color indexed="8"/>
      <name val="Tahoma"/>
      <family val="2"/>
    </font>
    <font>
      <sz val="10"/>
      <color theme="1"/>
      <name val="Tahoma"/>
      <family val="2"/>
    </font>
    <font>
      <b/>
      <sz val="10"/>
      <color theme="1"/>
      <name val="Tahoma"/>
      <family val="2"/>
    </font>
    <font>
      <b/>
      <i/>
      <sz val="10"/>
      <color theme="1"/>
      <name val="Tahoma"/>
      <family val="2"/>
    </font>
    <font>
      <b/>
      <sz val="10"/>
      <color rgb="FFFF0000"/>
      <name val="Tahoma"/>
      <family val="2"/>
    </font>
    <font>
      <u/>
      <sz val="10"/>
      <color theme="1"/>
      <name val="Tahoma"/>
      <family val="2"/>
    </font>
    <font>
      <i/>
      <sz val="10"/>
      <color theme="1"/>
      <name val="Tahoma"/>
      <family val="2"/>
    </font>
    <font>
      <sz val="10"/>
      <color rgb="FF00B050"/>
      <name val="Tahoma"/>
      <family val="2"/>
    </font>
    <font>
      <i/>
      <sz val="10"/>
      <color indexed="8"/>
      <name val="Tahoma"/>
      <family val="2"/>
    </font>
    <font>
      <sz val="10"/>
      <color theme="0"/>
      <name val="Tahoma"/>
      <family val="2"/>
    </font>
    <font>
      <sz val="10"/>
      <color indexed="30"/>
      <name val="Tahoma"/>
      <family val="2"/>
    </font>
    <font>
      <sz val="10"/>
      <name val="Arial"/>
      <family val="2"/>
    </font>
    <font>
      <b/>
      <sz val="14"/>
      <name val="Calibri"/>
      <family val="2"/>
    </font>
    <font>
      <sz val="10"/>
      <name val="Palatino Linotype"/>
      <family val="1"/>
    </font>
    <font>
      <sz val="10"/>
      <color rgb="FF000000"/>
      <name val="Calibri"/>
      <family val="2"/>
    </font>
    <font>
      <b/>
      <sz val="12"/>
      <name val="Arial"/>
      <family val="2"/>
    </font>
    <font>
      <b/>
      <sz val="14"/>
      <color rgb="FF000000"/>
      <name val="Tahoma"/>
      <family val="2"/>
    </font>
    <font>
      <sz val="14"/>
      <color rgb="FF000000"/>
      <name val="Tahoma"/>
      <family val="2"/>
    </font>
  </fonts>
  <fills count="11">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indexed="43"/>
        <bgColor indexed="64"/>
      </patternFill>
    </fill>
    <fill>
      <patternFill patternType="solid">
        <fgColor indexed="42"/>
        <bgColor indexed="64"/>
      </patternFill>
    </fill>
    <fill>
      <patternFill patternType="solid">
        <fgColor theme="5" tint="0.59999389629810485"/>
        <bgColor indexed="64"/>
      </patternFill>
    </fill>
    <fill>
      <patternFill patternType="solid">
        <fgColor rgb="FF00CC99"/>
        <bgColor indexed="64"/>
      </patternFill>
    </fill>
    <fill>
      <patternFill patternType="solid">
        <fgColor rgb="FFE7F6EF"/>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top/>
      <bottom/>
      <diagonal/>
    </border>
  </borders>
  <cellStyleXfs count="3">
    <xf numFmtId="0" fontId="0" fillId="0" borderId="0"/>
    <xf numFmtId="0" fontId="15" fillId="0" borderId="0"/>
    <xf numFmtId="9" fontId="15" fillId="0" borderId="0" applyFont="0" applyFill="0" applyBorder="0" applyAlignment="0" applyProtection="0"/>
  </cellStyleXfs>
  <cellXfs count="211">
    <xf numFmtId="0" fontId="0" fillId="0" borderId="0" xfId="0"/>
    <xf numFmtId="0" fontId="2" fillId="0" borderId="0" xfId="0" applyFont="1" applyBorder="1" applyAlignment="1">
      <alignment horizontal="left" vertical="center" wrapText="1"/>
    </xf>
    <xf numFmtId="0" fontId="2" fillId="0" borderId="0"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5" fillId="0" borderId="1" xfId="0" applyFont="1" applyBorder="1" applyAlignment="1">
      <alignment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vertical="center" wrapText="1"/>
    </xf>
    <xf numFmtId="0" fontId="6" fillId="2" borderId="1" xfId="0" applyFont="1" applyFill="1" applyBorder="1" applyAlignment="1">
      <alignment horizontal="center" vertical="center" wrapText="1"/>
    </xf>
    <xf numFmtId="0" fontId="5" fillId="2" borderId="1" xfId="0" applyFont="1" applyFill="1" applyBorder="1" applyAlignment="1">
      <alignment vertical="center"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6" fillId="0" borderId="1" xfId="0" applyFont="1" applyBorder="1" applyAlignment="1">
      <alignment horizontal="center" vertical="center" wrapText="1"/>
    </xf>
    <xf numFmtId="0" fontId="5" fillId="0" borderId="0" xfId="0" applyFont="1" applyAlignment="1">
      <alignment horizontal="left" vertical="center" wrapText="1"/>
    </xf>
    <xf numFmtId="0" fontId="3"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6" fillId="2"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6" fillId="2" borderId="1" xfId="0" applyFont="1" applyFill="1" applyBorder="1" applyAlignment="1">
      <alignment vertical="center" wrapText="1"/>
    </xf>
    <xf numFmtId="0" fontId="6"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5" fillId="0" borderId="0" xfId="0" applyFont="1" applyFill="1" applyAlignment="1">
      <alignment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0" fontId="2" fillId="0" borderId="0" xfId="0" applyFont="1" applyBorder="1" applyAlignment="1">
      <alignment vertical="center" wrapText="1"/>
    </xf>
    <xf numFmtId="0" fontId="6" fillId="0" borderId="2" xfId="0" applyFont="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vertical="center" wrapText="1"/>
    </xf>
    <xf numFmtId="0" fontId="5" fillId="3" borderId="1" xfId="0" applyFont="1" applyFill="1" applyBorder="1" applyAlignment="1">
      <alignment vertical="center" wrapText="1"/>
    </xf>
    <xf numFmtId="0" fontId="1" fillId="0" borderId="0" xfId="0" applyFont="1" applyBorder="1" applyAlignment="1">
      <alignment vertical="center" wrapText="1"/>
    </xf>
    <xf numFmtId="0" fontId="5" fillId="0" borderId="0"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6" fillId="0" borderId="0" xfId="0" applyFont="1" applyFill="1"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6" fillId="0" borderId="0" xfId="0" applyFont="1" applyFill="1" applyAlignment="1">
      <alignment horizontal="center" vertical="center" wrapText="1"/>
    </xf>
    <xf numFmtId="0" fontId="5" fillId="0" borderId="0" xfId="0" applyFont="1" applyFill="1" applyAlignment="1">
      <alignment horizontal="center" vertical="center" wrapText="1"/>
    </xf>
    <xf numFmtId="0" fontId="5" fillId="0" borderId="0" xfId="0" applyFont="1" applyFill="1" applyAlignment="1">
      <alignment horizontal="right" vertical="center" wrapText="1"/>
    </xf>
    <xf numFmtId="0" fontId="5" fillId="2" borderId="1" xfId="0" applyFont="1" applyFill="1" applyBorder="1" applyAlignment="1">
      <alignment horizontal="left" vertical="center" wrapText="1"/>
    </xf>
    <xf numFmtId="0" fontId="8" fillId="2" borderId="1" xfId="0" applyFont="1" applyFill="1" applyBorder="1" applyAlignment="1">
      <alignment horizontal="left" vertical="center" wrapText="1"/>
    </xf>
    <xf numFmtId="0" fontId="6" fillId="0" borderId="0" xfId="0" applyFont="1" applyAlignment="1">
      <alignment horizontal="lef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6" fillId="0" borderId="0" xfId="0" applyFont="1" applyAlignment="1">
      <alignment horizontal="left" vertical="center"/>
    </xf>
    <xf numFmtId="0" fontId="6" fillId="0" borderId="0" xfId="0" applyFont="1" applyAlignment="1">
      <alignment vertical="center" wrapText="1"/>
    </xf>
    <xf numFmtId="0" fontId="6"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6" fillId="0" borderId="0" xfId="0" applyFont="1" applyBorder="1" applyAlignment="1">
      <alignment horizontal="center" vertical="center" wrapText="1" readingOrder="1"/>
    </xf>
    <xf numFmtId="0" fontId="5" fillId="0" borderId="0" xfId="0" applyFont="1" applyBorder="1" applyAlignment="1">
      <alignment horizontal="center" vertical="center" wrapText="1"/>
    </xf>
    <xf numFmtId="0" fontId="5" fillId="0" borderId="1" xfId="0" applyFont="1" applyBorder="1" applyAlignment="1">
      <alignment horizontal="left" vertical="center" wrapText="1"/>
    </xf>
    <xf numFmtId="0" fontId="5" fillId="0" borderId="0" xfId="0" applyFont="1" applyBorder="1" applyAlignment="1">
      <alignment horizontal="left" vertical="center" wrapText="1"/>
    </xf>
    <xf numFmtId="0" fontId="5" fillId="0" borderId="0" xfId="0" applyFont="1" applyAlignment="1">
      <alignment vertical="center"/>
    </xf>
    <xf numFmtId="0" fontId="5" fillId="0" borderId="2" xfId="0" applyFont="1" applyBorder="1" applyAlignment="1">
      <alignment vertical="center" wrapText="1"/>
    </xf>
    <xf numFmtId="0" fontId="6" fillId="4" borderId="1" xfId="0" applyFont="1" applyFill="1" applyBorder="1" applyAlignment="1">
      <alignment horizontal="center" vertical="center" wrapText="1"/>
    </xf>
    <xf numFmtId="0" fontId="6" fillId="0" borderId="1" xfId="0" applyFont="1" applyFill="1" applyBorder="1" applyAlignment="1">
      <alignment vertical="center" wrapText="1"/>
    </xf>
    <xf numFmtId="0" fontId="5" fillId="0" borderId="1" xfId="0" applyFont="1" applyFill="1" applyBorder="1" applyAlignment="1">
      <alignment horizontal="justify" vertical="center" wrapText="1"/>
    </xf>
    <xf numFmtId="0" fontId="5" fillId="0" borderId="1" xfId="0" applyFont="1" applyFill="1" applyBorder="1" applyAlignment="1">
      <alignment horizontal="right" vertical="center" wrapText="1"/>
    </xf>
    <xf numFmtId="0" fontId="5" fillId="0" borderId="1" xfId="0" applyFont="1" applyBorder="1" applyAlignment="1">
      <alignment horizontal="right" vertical="center" wrapText="1"/>
    </xf>
    <xf numFmtId="0" fontId="5" fillId="0" borderId="0" xfId="0" applyFont="1" applyFill="1" applyBorder="1" applyAlignment="1">
      <alignment horizontal="left" vertical="center" wrapText="1"/>
    </xf>
    <xf numFmtId="0" fontId="6" fillId="0" borderId="0" xfId="0" applyFont="1" applyFill="1" applyBorder="1" applyAlignment="1">
      <alignment horizontal="left" vertical="center" wrapText="1"/>
    </xf>
    <xf numFmtId="0" fontId="5" fillId="0" borderId="7" xfId="0" applyFont="1" applyBorder="1" applyAlignment="1">
      <alignment horizontal="left" vertical="center" wrapText="1"/>
    </xf>
    <xf numFmtId="9" fontId="5" fillId="0" borderId="1" xfId="0" applyNumberFormat="1" applyFont="1" applyBorder="1" applyAlignment="1">
      <alignment horizontal="center" vertical="center" wrapText="1"/>
    </xf>
    <xf numFmtId="0" fontId="5" fillId="0" borderId="0" xfId="0" applyFont="1" applyBorder="1" applyAlignment="1">
      <alignment vertical="center" wrapText="1"/>
    </xf>
    <xf numFmtId="0" fontId="5" fillId="0" borderId="0" xfId="0" applyFont="1" applyFill="1" applyBorder="1" applyAlignment="1">
      <alignment vertical="center"/>
    </xf>
    <xf numFmtId="0" fontId="5" fillId="5" borderId="1" xfId="0" applyFont="1" applyFill="1" applyBorder="1" applyAlignment="1">
      <alignment vertical="center" wrapText="1"/>
    </xf>
    <xf numFmtId="0" fontId="5" fillId="0" borderId="8" xfId="0" applyFont="1" applyFill="1" applyBorder="1" applyAlignment="1">
      <alignment horizontal="left" vertical="center" wrapText="1"/>
    </xf>
    <xf numFmtId="0" fontId="5" fillId="5" borderId="1" xfId="0" applyFont="1" applyFill="1" applyBorder="1" applyAlignment="1">
      <alignment horizontal="left" vertical="center" wrapText="1"/>
    </xf>
    <xf numFmtId="0" fontId="5" fillId="3" borderId="0" xfId="0" applyFont="1" applyFill="1" applyAlignment="1">
      <alignment horizontal="left" vertical="center" wrapText="1"/>
    </xf>
    <xf numFmtId="0" fontId="5" fillId="5" borderId="2" xfId="0" applyFont="1" applyFill="1" applyBorder="1" applyAlignment="1">
      <alignment vertical="center" wrapText="1"/>
    </xf>
    <xf numFmtId="0" fontId="1" fillId="0" borderId="1" xfId="0" applyFont="1" applyBorder="1" applyAlignment="1">
      <alignment horizontal="center" vertical="center" wrapText="1"/>
    </xf>
    <xf numFmtId="0" fontId="1" fillId="0" borderId="1" xfId="0" applyFont="1" applyFill="1" applyBorder="1" applyAlignment="1">
      <alignment horizontal="center" vertical="center" wrapText="1"/>
    </xf>
    <xf numFmtId="0" fontId="4" fillId="0" borderId="0" xfId="0" applyFont="1" applyFill="1" applyAlignment="1">
      <alignment horizontal="center" vertical="center" wrapText="1"/>
    </xf>
    <xf numFmtId="0" fontId="1"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1" xfId="0" applyFont="1" applyFill="1" applyBorder="1" applyAlignment="1">
      <alignment horizontal="left" vertical="center" wrapText="1"/>
    </xf>
    <xf numFmtId="0" fontId="2" fillId="0" borderId="0" xfId="0" applyFont="1" applyFill="1"/>
    <xf numFmtId="0" fontId="2" fillId="0" borderId="0" xfId="0" applyFont="1" applyFill="1" applyAlignment="1">
      <alignment vertical="center" wrapText="1"/>
    </xf>
    <xf numFmtId="0" fontId="13" fillId="0" borderId="0" xfId="0" applyFont="1" applyFill="1" applyAlignment="1">
      <alignment horizontal="center" vertical="center" wrapText="1"/>
    </xf>
    <xf numFmtId="0" fontId="2" fillId="0" borderId="1" xfId="0" applyFont="1" applyFill="1" applyBorder="1" applyAlignment="1">
      <alignment vertical="top" wrapText="1"/>
    </xf>
    <xf numFmtId="0" fontId="1" fillId="0" borderId="1" xfId="0" applyFont="1" applyFill="1" applyBorder="1" applyAlignment="1">
      <alignment vertical="center" wrapText="1"/>
    </xf>
    <xf numFmtId="0" fontId="4" fillId="0" borderId="0" xfId="0" applyFont="1" applyFill="1" applyAlignment="1">
      <alignment vertical="center" wrapText="1"/>
    </xf>
    <xf numFmtId="0" fontId="2" fillId="2" borderId="1" xfId="0" applyFont="1" applyFill="1" applyBorder="1" applyAlignment="1">
      <alignment vertical="center" wrapText="1"/>
    </xf>
    <xf numFmtId="0" fontId="2" fillId="0" borderId="1" xfId="0" applyFont="1" applyFill="1" applyBorder="1" applyAlignment="1">
      <alignment horizontal="left" vertical="top" wrapText="1"/>
    </xf>
    <xf numFmtId="0" fontId="6"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5" fillId="0" borderId="0" xfId="1"/>
    <xf numFmtId="0" fontId="16" fillId="6" borderId="9" xfId="1" applyFont="1" applyFill="1" applyBorder="1" applyAlignment="1">
      <alignment horizontal="center" vertical="center" wrapText="1"/>
    </xf>
    <xf numFmtId="0" fontId="16" fillId="0" borderId="1" xfId="1" applyFont="1" applyBorder="1"/>
    <xf numFmtId="0" fontId="16" fillId="0" borderId="5" xfId="1" applyFont="1" applyBorder="1"/>
    <xf numFmtId="0" fontId="16" fillId="0" borderId="10" xfId="1" applyFont="1" applyBorder="1" applyAlignment="1">
      <alignment horizontal="left" wrapText="1" shrinkToFit="1"/>
    </xf>
    <xf numFmtId="1" fontId="16" fillId="0" borderId="5" xfId="1" applyNumberFormat="1" applyFont="1" applyBorder="1"/>
    <xf numFmtId="4" fontId="17" fillId="0" borderId="0" xfId="1" applyNumberFormat="1" applyFont="1" applyBorder="1" applyAlignment="1">
      <alignment horizontal="justify" vertical="center" wrapText="1"/>
    </xf>
    <xf numFmtId="4" fontId="17" fillId="0" borderId="0" xfId="1" applyNumberFormat="1" applyFont="1"/>
    <xf numFmtId="9" fontId="0" fillId="0" borderId="0" xfId="2" applyFont="1"/>
    <xf numFmtId="4" fontId="18" fillId="0" borderId="0" xfId="1" applyNumberFormat="1" applyFont="1"/>
    <xf numFmtId="0" fontId="16" fillId="7" borderId="12" xfId="1" applyFont="1" applyFill="1" applyBorder="1"/>
    <xf numFmtId="1" fontId="16" fillId="7" borderId="13" xfId="1" applyNumberFormat="1" applyFont="1" applyFill="1" applyBorder="1"/>
    <xf numFmtId="0" fontId="16" fillId="4" borderId="5" xfId="1" applyFont="1" applyFill="1" applyBorder="1"/>
    <xf numFmtId="1" fontId="16" fillId="4" borderId="5" xfId="1" applyNumberFormat="1" applyFont="1" applyFill="1" applyBorder="1"/>
    <xf numFmtId="0" fontId="15" fillId="0" borderId="0" xfId="1" applyAlignment="1">
      <alignment wrapText="1"/>
    </xf>
    <xf numFmtId="0" fontId="16" fillId="0" borderId="10" xfId="1" applyFont="1" applyBorder="1" applyAlignment="1">
      <alignment horizontal="left" wrapText="1"/>
    </xf>
    <xf numFmtId="0" fontId="16" fillId="7" borderId="11" xfId="1" applyFont="1" applyFill="1" applyBorder="1" applyAlignment="1">
      <alignment horizontal="right" wrapText="1"/>
    </xf>
    <xf numFmtId="9" fontId="0" fillId="0" borderId="0" xfId="2" applyFont="1" applyAlignment="1">
      <alignment wrapText="1"/>
    </xf>
    <xf numFmtId="0" fontId="1" fillId="0" borderId="1" xfId="0" applyFont="1" applyBorder="1" applyAlignment="1">
      <alignment horizontal="center" vertical="center" wrapText="1"/>
    </xf>
    <xf numFmtId="0" fontId="15" fillId="0" borderId="0" xfId="1" applyAlignment="1">
      <alignment vertical="center"/>
    </xf>
    <xf numFmtId="0" fontId="16" fillId="6" borderId="14" xfId="1" applyFont="1" applyFill="1" applyBorder="1" applyAlignment="1">
      <alignment horizontal="center" vertical="center" wrapText="1"/>
    </xf>
    <xf numFmtId="0" fontId="16" fillId="6" borderId="3" xfId="1" applyFont="1" applyFill="1" applyBorder="1" applyAlignment="1">
      <alignment horizontal="center" vertical="center"/>
    </xf>
    <xf numFmtId="0" fontId="16" fillId="6" borderId="3" xfId="1" applyFont="1" applyFill="1" applyBorder="1" applyAlignment="1">
      <alignment horizontal="center" vertical="center" wrapText="1"/>
    </xf>
    <xf numFmtId="0" fontId="21" fillId="10" borderId="18" xfId="0" applyFont="1" applyFill="1" applyBorder="1" applyAlignment="1">
      <alignment horizontal="center" vertical="top" wrapText="1" readingOrder="1"/>
    </xf>
    <xf numFmtId="0" fontId="19" fillId="8" borderId="15" xfId="1" applyFont="1" applyFill="1" applyBorder="1" applyAlignment="1">
      <alignment horizontal="center" vertical="center" wrapText="1"/>
    </xf>
    <xf numFmtId="0" fontId="19" fillId="8" borderId="16" xfId="1" applyFont="1" applyFill="1" applyBorder="1" applyAlignment="1">
      <alignment horizontal="center" vertical="center" wrapText="1"/>
    </xf>
    <xf numFmtId="0" fontId="19" fillId="8" borderId="17" xfId="1" applyFont="1" applyFill="1" applyBorder="1" applyAlignment="1">
      <alignment horizontal="center" vertical="center" wrapText="1"/>
    </xf>
    <xf numFmtId="0" fontId="6"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0" xfId="0" applyFont="1" applyFill="1" applyAlignment="1">
      <alignment horizontal="left" vertical="center" wrapText="1"/>
    </xf>
    <xf numFmtId="0" fontId="6" fillId="0" borderId="0" xfId="0" applyFont="1" applyFill="1" applyAlignment="1">
      <alignment horizontal="center" vertical="center" wrapText="1"/>
    </xf>
    <xf numFmtId="0" fontId="5" fillId="0" borderId="1" xfId="0" applyFont="1" applyFill="1" applyBorder="1" applyAlignment="1">
      <alignment horizontal="left" vertical="center" wrapText="1"/>
    </xf>
    <xf numFmtId="0" fontId="5" fillId="0" borderId="2"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7" fillId="0" borderId="5" xfId="0" applyFont="1" applyFill="1" applyBorder="1" applyAlignment="1">
      <alignment horizontal="left" vertical="center" wrapText="1"/>
    </xf>
    <xf numFmtId="0" fontId="10" fillId="0" borderId="6" xfId="0" applyFont="1" applyFill="1" applyBorder="1" applyAlignment="1">
      <alignment horizontal="left" vertical="center" wrapText="1"/>
    </xf>
    <xf numFmtId="0" fontId="10" fillId="0" borderId="7" xfId="0" applyFont="1" applyFill="1" applyBorder="1" applyAlignment="1">
      <alignment horizontal="left"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5" fillId="0" borderId="2" xfId="0" applyFont="1" applyBorder="1" applyAlignment="1">
      <alignment horizontal="left" vertical="center" wrapText="1"/>
    </xf>
    <xf numFmtId="0" fontId="5" fillId="0" borderId="4" xfId="0" applyFont="1" applyBorder="1" applyAlignment="1">
      <alignment horizontal="left" vertical="center" wrapText="1"/>
    </xf>
    <xf numFmtId="0" fontId="5" fillId="0" borderId="3" xfId="0" applyFont="1" applyBorder="1" applyAlignment="1">
      <alignment horizontal="left" vertical="center" wrapText="1"/>
    </xf>
    <xf numFmtId="0" fontId="7" fillId="0" borderId="6" xfId="0" applyFont="1" applyFill="1" applyBorder="1" applyAlignment="1">
      <alignment horizontal="left" vertical="center" wrapText="1"/>
    </xf>
    <xf numFmtId="0" fontId="7" fillId="0" borderId="7" xfId="0" applyFont="1" applyFill="1" applyBorder="1" applyAlignment="1">
      <alignment horizontal="left" vertical="center" wrapText="1"/>
    </xf>
    <xf numFmtId="0" fontId="5" fillId="0" borderId="1" xfId="0" applyFont="1" applyBorder="1" applyAlignment="1">
      <alignment horizontal="left" vertical="center" wrapText="1"/>
    </xf>
    <xf numFmtId="0" fontId="5" fillId="4" borderId="2"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5" xfId="0" applyFont="1" applyBorder="1" applyAlignment="1">
      <alignment horizontal="left" vertical="center" wrapText="1"/>
    </xf>
    <xf numFmtId="0" fontId="5" fillId="0" borderId="7" xfId="0" applyFont="1" applyBorder="1" applyAlignment="1">
      <alignment horizontal="left" vertical="center" wrapText="1"/>
    </xf>
    <xf numFmtId="0" fontId="5" fillId="0" borderId="4" xfId="0" applyFont="1" applyBorder="1" applyAlignment="1">
      <alignment horizontal="center" vertical="center" wrapText="1"/>
    </xf>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0" borderId="0" xfId="0" applyFont="1" applyBorder="1" applyAlignment="1">
      <alignment horizontal="center" vertical="center" wrapText="1"/>
    </xf>
    <xf numFmtId="0" fontId="5" fillId="0" borderId="2"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3" xfId="0" applyFont="1" applyFill="1" applyBorder="1" applyAlignment="1">
      <alignment horizontal="center" vertical="center"/>
    </xf>
    <xf numFmtId="0" fontId="5" fillId="4" borderId="2" xfId="0" applyFont="1" applyFill="1" applyBorder="1" applyAlignment="1">
      <alignment horizontal="left" vertical="center" wrapText="1"/>
    </xf>
    <xf numFmtId="0" fontId="5" fillId="4" borderId="4" xfId="0" applyFont="1" applyFill="1" applyBorder="1" applyAlignment="1">
      <alignment horizontal="left" vertical="center" wrapText="1"/>
    </xf>
    <xf numFmtId="0" fontId="5" fillId="4" borderId="3" xfId="0" applyFont="1" applyFill="1" applyBorder="1" applyAlignment="1">
      <alignment horizontal="left" vertical="center"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20" fillId="9" borderId="19" xfId="0" applyFont="1" applyFill="1" applyBorder="1" applyAlignment="1">
      <alignment horizontal="center" vertical="top" wrapText="1" readingOrder="1"/>
    </xf>
    <xf numFmtId="0" fontId="20" fillId="9" borderId="20" xfId="0" applyFont="1" applyFill="1" applyBorder="1" applyAlignment="1">
      <alignment horizontal="center" vertical="top" wrapText="1" readingOrder="1"/>
    </xf>
    <xf numFmtId="0" fontId="21" fillId="10" borderId="19" xfId="0" applyFont="1" applyFill="1" applyBorder="1" applyAlignment="1">
      <alignment horizontal="center" vertical="top" wrapText="1" readingOrder="1"/>
    </xf>
    <xf numFmtId="0" fontId="21" fillId="10" borderId="20" xfId="0" applyFont="1" applyFill="1" applyBorder="1" applyAlignment="1">
      <alignment horizontal="center" vertical="top" wrapText="1" readingOrder="1"/>
    </xf>
    <xf numFmtId="0" fontId="20" fillId="9" borderId="21" xfId="0" applyFont="1" applyFill="1" applyBorder="1" applyAlignment="1">
      <alignment horizontal="center" vertical="top" wrapText="1" readingOrder="1"/>
    </xf>
    <xf numFmtId="0" fontId="20" fillId="9" borderId="0" xfId="0" applyFont="1" applyFill="1" applyBorder="1" applyAlignment="1">
      <alignment horizontal="center" vertical="top" wrapText="1" readingOrder="1"/>
    </xf>
    <xf numFmtId="0" fontId="21" fillId="10" borderId="21" xfId="0" applyFont="1" applyFill="1" applyBorder="1" applyAlignment="1">
      <alignment horizontal="left" vertical="top" wrapText="1" readingOrder="1"/>
    </xf>
    <xf numFmtId="0" fontId="21" fillId="10" borderId="0" xfId="0" applyFont="1" applyFill="1" applyBorder="1" applyAlignment="1">
      <alignment horizontal="left" vertical="top" wrapText="1" readingOrder="1"/>
    </xf>
    <xf numFmtId="0" fontId="5" fillId="0" borderId="2" xfId="0" applyFont="1" applyFill="1" applyBorder="1" applyAlignment="1">
      <alignment horizontal="left" vertical="center" wrapText="1"/>
    </xf>
    <xf numFmtId="0" fontId="5" fillId="0" borderId="3" xfId="0" applyFont="1" applyFill="1" applyBorder="1" applyAlignment="1">
      <alignment horizontal="left" vertical="center" wrapText="1"/>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6"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6" fillId="0" borderId="1" xfId="0" applyFont="1" applyBorder="1" applyAlignment="1">
      <alignment horizontal="center" vertical="center" wrapText="1"/>
    </xf>
  </cellXfs>
  <cellStyles count="3">
    <cellStyle name="Normal" xfId="0" builtinId="0"/>
    <cellStyle name="Normal 2" xfId="1" xr:uid="{00000000-0005-0000-0000-000001000000}"/>
    <cellStyle name="Percent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34</xdr:row>
      <xdr:rowOff>676275</xdr:rowOff>
    </xdr:from>
    <xdr:to>
      <xdr:col>6</xdr:col>
      <xdr:colOff>672193</xdr:colOff>
      <xdr:row>117</xdr:row>
      <xdr:rowOff>117022</xdr:rowOff>
    </xdr:to>
    <xdr:grpSp>
      <xdr:nvGrpSpPr>
        <xdr:cNvPr id="5" name="Group 4">
          <a:extLst>
            <a:ext uri="{FF2B5EF4-FFF2-40B4-BE49-F238E27FC236}">
              <a16:creationId xmlns:a16="http://schemas.microsoft.com/office/drawing/2014/main" id="{1CE3871C-0D3E-4D67-AB87-2DE333A2FF9A}"/>
            </a:ext>
          </a:extLst>
        </xdr:cNvPr>
        <xdr:cNvGrpSpPr/>
      </xdr:nvGrpSpPr>
      <xdr:grpSpPr>
        <a:xfrm>
          <a:off x="0" y="25593675"/>
          <a:ext cx="7423037" cy="13790160"/>
          <a:chOff x="0" y="28070175"/>
          <a:chExt cx="7444468" cy="13575847"/>
        </a:xfrm>
      </xdr:grpSpPr>
      <xdr:pic>
        <xdr:nvPicPr>
          <xdr:cNvPr id="2" name="Picture 1">
            <a:extLst>
              <a:ext uri="{FF2B5EF4-FFF2-40B4-BE49-F238E27FC236}">
                <a16:creationId xmlns:a16="http://schemas.microsoft.com/office/drawing/2014/main" id="{04B173DC-35FC-477D-825C-ACDB5DE007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8070175"/>
            <a:ext cx="7444468" cy="6410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Picture 3">
            <a:extLst>
              <a:ext uri="{FF2B5EF4-FFF2-40B4-BE49-F238E27FC236}">
                <a16:creationId xmlns:a16="http://schemas.microsoft.com/office/drawing/2014/main" id="{FF7D4775-61EF-4AB6-A895-F142547DD9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 y="34518600"/>
            <a:ext cx="7025368" cy="71274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529150</xdr:colOff>
      <xdr:row>14</xdr:row>
      <xdr:rowOff>152401</xdr:rowOff>
    </xdr:from>
    <xdr:to>
      <xdr:col>6</xdr:col>
      <xdr:colOff>3686174</xdr:colOff>
      <xdr:row>17</xdr:row>
      <xdr:rowOff>419100</xdr:rowOff>
    </xdr:to>
    <xdr:pic>
      <xdr:nvPicPr>
        <xdr:cNvPr id="2" name="Picture 2">
          <a:extLst>
            <a:ext uri="{FF2B5EF4-FFF2-40B4-BE49-F238E27FC236}">
              <a16:creationId xmlns:a16="http://schemas.microsoft.com/office/drawing/2014/main" id="{911C638E-43F7-41C9-A795-9F3A9C8D7B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43975" y="6353176"/>
          <a:ext cx="5909749" cy="1885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46</xdr:row>
      <xdr:rowOff>28575</xdr:rowOff>
    </xdr:from>
    <xdr:to>
      <xdr:col>1</xdr:col>
      <xdr:colOff>3521710</xdr:colOff>
      <xdr:row>58</xdr:row>
      <xdr:rowOff>138430</xdr:rowOff>
    </xdr:to>
    <xdr:pic>
      <xdr:nvPicPr>
        <xdr:cNvPr id="3" name="Picture 2">
          <a:extLst>
            <a:ext uri="{FF2B5EF4-FFF2-40B4-BE49-F238E27FC236}">
              <a16:creationId xmlns:a16="http://schemas.microsoft.com/office/drawing/2014/main" id="{48B3CC9B-9090-41CB-920B-4A91254A84F3}"/>
            </a:ext>
          </a:extLst>
        </xdr:cNvPr>
        <xdr:cNvPicPr/>
      </xdr:nvPicPr>
      <xdr:blipFill rotWithShape="1">
        <a:blip xmlns:r="http://schemas.openxmlformats.org/officeDocument/2006/relationships" r:embed="rId1" cstate="print">
          <a:duotone>
            <a:prstClr val="black"/>
            <a:schemeClr val="bg1">
              <a:tint val="45000"/>
              <a:satMod val="400000"/>
            </a:schemeClr>
          </a:duotone>
          <a:extLst>
            <a:ext uri="{28A0092B-C50C-407E-A947-70E740481C1C}">
              <a14:useLocalDpi xmlns:a14="http://schemas.microsoft.com/office/drawing/2010/main" val="0"/>
            </a:ext>
          </a:extLst>
        </a:blip>
        <a:srcRect r="42670" b="10856"/>
        <a:stretch/>
      </xdr:blipFill>
      <xdr:spPr bwMode="auto">
        <a:xfrm>
          <a:off x="1181100" y="17021175"/>
          <a:ext cx="3407410" cy="2052955"/>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28575</xdr:colOff>
      <xdr:row>44</xdr:row>
      <xdr:rowOff>142875</xdr:rowOff>
    </xdr:from>
    <xdr:to>
      <xdr:col>7</xdr:col>
      <xdr:colOff>160787</xdr:colOff>
      <xdr:row>57</xdr:row>
      <xdr:rowOff>2866</xdr:rowOff>
    </xdr:to>
    <xdr:pic>
      <xdr:nvPicPr>
        <xdr:cNvPr id="2" name="Picture 1">
          <a:extLst>
            <a:ext uri="{FF2B5EF4-FFF2-40B4-BE49-F238E27FC236}">
              <a16:creationId xmlns:a16="http://schemas.microsoft.com/office/drawing/2014/main" id="{57852307-1344-4388-BE51-758DD67C0461}"/>
            </a:ext>
          </a:extLst>
        </xdr:cNvPr>
        <xdr:cNvPicPr>
          <a:picLocks noChangeAspect="1"/>
        </xdr:cNvPicPr>
      </xdr:nvPicPr>
      <xdr:blipFill>
        <a:blip xmlns:r="http://schemas.openxmlformats.org/officeDocument/2006/relationships" r:embed="rId1"/>
        <a:stretch>
          <a:fillRect/>
        </a:stretch>
      </xdr:blipFill>
      <xdr:spPr>
        <a:xfrm>
          <a:off x="7753350" y="23069550"/>
          <a:ext cx="4456562" cy="229839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iiindia-my.sharepoint.com/CII%20Data/Green%20Rating%20System/Assignments/Tata%20Motors/Tata%20Motors,%20Panth%20Nagar/2018/Tata%20Motors%20Pantnagar%20_GreenCo%20Assessment%20Sheet%20(201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Creditwise Points"/>
      <sheetName val="Sheet1"/>
    </sheetNames>
    <sheetDataSet>
      <sheetData sheetId="0"/>
      <sheetData sheetId="1">
        <row r="30">
          <cell r="E30">
            <v>50</v>
          </cell>
          <cell r="F30">
            <v>55</v>
          </cell>
          <cell r="G30">
            <v>117</v>
          </cell>
        </row>
        <row r="61">
          <cell r="E61">
            <v>40</v>
          </cell>
          <cell r="F61">
            <v>20</v>
          </cell>
          <cell r="G61">
            <v>72</v>
          </cell>
        </row>
        <row r="90">
          <cell r="E90">
            <v>8</v>
          </cell>
          <cell r="F90">
            <v>10</v>
          </cell>
          <cell r="G90">
            <v>26</v>
          </cell>
        </row>
        <row r="121">
          <cell r="E121">
            <v>50</v>
          </cell>
          <cell r="F121">
            <v>15</v>
          </cell>
          <cell r="G121">
            <v>71</v>
          </cell>
        </row>
        <row r="157">
          <cell r="E157">
            <v>81</v>
          </cell>
          <cell r="F157">
            <v>0</v>
          </cell>
          <cell r="G157">
            <v>87</v>
          </cell>
        </row>
        <row r="188">
          <cell r="E188">
            <v>45</v>
          </cell>
          <cell r="F188">
            <v>15</v>
          </cell>
          <cell r="G188">
            <v>56</v>
          </cell>
        </row>
        <row r="218">
          <cell r="E218">
            <v>75</v>
          </cell>
          <cell r="F218">
            <v>10</v>
          </cell>
          <cell r="G218">
            <v>64</v>
          </cell>
        </row>
        <row r="241">
          <cell r="E241">
            <v>52</v>
          </cell>
          <cell r="F241">
            <v>10</v>
          </cell>
          <cell r="G241">
            <v>60</v>
          </cell>
        </row>
        <row r="264">
          <cell r="E264">
            <v>40</v>
          </cell>
          <cell r="F264">
            <v>10</v>
          </cell>
          <cell r="G264">
            <v>65</v>
          </cell>
        </row>
        <row r="279">
          <cell r="E279">
            <v>40</v>
          </cell>
          <cell r="F279">
            <v>30</v>
          </cell>
          <cell r="G279">
            <v>80</v>
          </cell>
        </row>
        <row r="281">
          <cell r="E281">
            <v>481</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
  <sheetViews>
    <sheetView view="pageBreakPreview" topLeftCell="A4" zoomScale="80" zoomScaleNormal="90" zoomScaleSheetLayoutView="80" workbookViewId="0">
      <selection activeCell="K3" sqref="K3"/>
    </sheetView>
  </sheetViews>
  <sheetFormatPr defaultRowHeight="12.75" x14ac:dyDescent="0.2"/>
  <cols>
    <col min="1" max="1" width="42.42578125" style="128" customWidth="1"/>
    <col min="2" max="2" width="17" style="114" bestFit="1" customWidth="1"/>
    <col min="3" max="5" width="16.28515625" style="114" hidden="1" customWidth="1"/>
    <col min="6" max="6" width="16.28515625" style="114" customWidth="1"/>
    <col min="7" max="7" width="18.140625" style="114" customWidth="1"/>
    <col min="8" max="8" width="13.28515625" style="114" customWidth="1"/>
    <col min="9" max="10" width="9.140625" style="114"/>
    <col min="11" max="11" width="10.28515625" style="114" bestFit="1" customWidth="1"/>
    <col min="12" max="256" width="9.140625" style="114"/>
    <col min="257" max="257" width="42.42578125" style="114" customWidth="1"/>
    <col min="258" max="258" width="17" style="114" bestFit="1" customWidth="1"/>
    <col min="259" max="261" width="0" style="114" hidden="1" customWidth="1"/>
    <col min="262" max="262" width="16.28515625" style="114" customWidth="1"/>
    <col min="263" max="263" width="18.140625" style="114" customWidth="1"/>
    <col min="264" max="264" width="13.28515625" style="114" customWidth="1"/>
    <col min="265" max="266" width="9.140625" style="114"/>
    <col min="267" max="267" width="10.28515625" style="114" bestFit="1" customWidth="1"/>
    <col min="268" max="512" width="9.140625" style="114"/>
    <col min="513" max="513" width="42.42578125" style="114" customWidth="1"/>
    <col min="514" max="514" width="17" style="114" bestFit="1" customWidth="1"/>
    <col min="515" max="517" width="0" style="114" hidden="1" customWidth="1"/>
    <col min="518" max="518" width="16.28515625" style="114" customWidth="1"/>
    <col min="519" max="519" width="18.140625" style="114" customWidth="1"/>
    <col min="520" max="520" width="13.28515625" style="114" customWidth="1"/>
    <col min="521" max="522" width="9.140625" style="114"/>
    <col min="523" max="523" width="10.28515625" style="114" bestFit="1" customWidth="1"/>
    <col min="524" max="768" width="9.140625" style="114"/>
    <col min="769" max="769" width="42.42578125" style="114" customWidth="1"/>
    <col min="770" max="770" width="17" style="114" bestFit="1" customWidth="1"/>
    <col min="771" max="773" width="0" style="114" hidden="1" customWidth="1"/>
    <col min="774" max="774" width="16.28515625" style="114" customWidth="1"/>
    <col min="775" max="775" width="18.140625" style="114" customWidth="1"/>
    <col min="776" max="776" width="13.28515625" style="114" customWidth="1"/>
    <col min="777" max="778" width="9.140625" style="114"/>
    <col min="779" max="779" width="10.28515625" style="114" bestFit="1" customWidth="1"/>
    <col min="780" max="1024" width="9.140625" style="114"/>
    <col min="1025" max="1025" width="42.42578125" style="114" customWidth="1"/>
    <col min="1026" max="1026" width="17" style="114" bestFit="1" customWidth="1"/>
    <col min="1027" max="1029" width="0" style="114" hidden="1" customWidth="1"/>
    <col min="1030" max="1030" width="16.28515625" style="114" customWidth="1"/>
    <col min="1031" max="1031" width="18.140625" style="114" customWidth="1"/>
    <col min="1032" max="1032" width="13.28515625" style="114" customWidth="1"/>
    <col min="1033" max="1034" width="9.140625" style="114"/>
    <col min="1035" max="1035" width="10.28515625" style="114" bestFit="1" customWidth="1"/>
    <col min="1036" max="1280" width="9.140625" style="114"/>
    <col min="1281" max="1281" width="42.42578125" style="114" customWidth="1"/>
    <col min="1282" max="1282" width="17" style="114" bestFit="1" customWidth="1"/>
    <col min="1283" max="1285" width="0" style="114" hidden="1" customWidth="1"/>
    <col min="1286" max="1286" width="16.28515625" style="114" customWidth="1"/>
    <col min="1287" max="1287" width="18.140625" style="114" customWidth="1"/>
    <col min="1288" max="1288" width="13.28515625" style="114" customWidth="1"/>
    <col min="1289" max="1290" width="9.140625" style="114"/>
    <col min="1291" max="1291" width="10.28515625" style="114" bestFit="1" customWidth="1"/>
    <col min="1292" max="1536" width="9.140625" style="114"/>
    <col min="1537" max="1537" width="42.42578125" style="114" customWidth="1"/>
    <col min="1538" max="1538" width="17" style="114" bestFit="1" customWidth="1"/>
    <col min="1539" max="1541" width="0" style="114" hidden="1" customWidth="1"/>
    <col min="1542" max="1542" width="16.28515625" style="114" customWidth="1"/>
    <col min="1543" max="1543" width="18.140625" style="114" customWidth="1"/>
    <col min="1544" max="1544" width="13.28515625" style="114" customWidth="1"/>
    <col min="1545" max="1546" width="9.140625" style="114"/>
    <col min="1547" max="1547" width="10.28515625" style="114" bestFit="1" customWidth="1"/>
    <col min="1548" max="1792" width="9.140625" style="114"/>
    <col min="1793" max="1793" width="42.42578125" style="114" customWidth="1"/>
    <col min="1794" max="1794" width="17" style="114" bestFit="1" customWidth="1"/>
    <col min="1795" max="1797" width="0" style="114" hidden="1" customWidth="1"/>
    <col min="1798" max="1798" width="16.28515625" style="114" customWidth="1"/>
    <col min="1799" max="1799" width="18.140625" style="114" customWidth="1"/>
    <col min="1800" max="1800" width="13.28515625" style="114" customWidth="1"/>
    <col min="1801" max="1802" width="9.140625" style="114"/>
    <col min="1803" max="1803" width="10.28515625" style="114" bestFit="1" customWidth="1"/>
    <col min="1804" max="2048" width="9.140625" style="114"/>
    <col min="2049" max="2049" width="42.42578125" style="114" customWidth="1"/>
    <col min="2050" max="2050" width="17" style="114" bestFit="1" customWidth="1"/>
    <col min="2051" max="2053" width="0" style="114" hidden="1" customWidth="1"/>
    <col min="2054" max="2054" width="16.28515625" style="114" customWidth="1"/>
    <col min="2055" max="2055" width="18.140625" style="114" customWidth="1"/>
    <col min="2056" max="2056" width="13.28515625" style="114" customWidth="1"/>
    <col min="2057" max="2058" width="9.140625" style="114"/>
    <col min="2059" max="2059" width="10.28515625" style="114" bestFit="1" customWidth="1"/>
    <col min="2060" max="2304" width="9.140625" style="114"/>
    <col min="2305" max="2305" width="42.42578125" style="114" customWidth="1"/>
    <col min="2306" max="2306" width="17" style="114" bestFit="1" customWidth="1"/>
    <col min="2307" max="2309" width="0" style="114" hidden="1" customWidth="1"/>
    <col min="2310" max="2310" width="16.28515625" style="114" customWidth="1"/>
    <col min="2311" max="2311" width="18.140625" style="114" customWidth="1"/>
    <col min="2312" max="2312" width="13.28515625" style="114" customWidth="1"/>
    <col min="2313" max="2314" width="9.140625" style="114"/>
    <col min="2315" max="2315" width="10.28515625" style="114" bestFit="1" customWidth="1"/>
    <col min="2316" max="2560" width="9.140625" style="114"/>
    <col min="2561" max="2561" width="42.42578125" style="114" customWidth="1"/>
    <col min="2562" max="2562" width="17" style="114" bestFit="1" customWidth="1"/>
    <col min="2563" max="2565" width="0" style="114" hidden="1" customWidth="1"/>
    <col min="2566" max="2566" width="16.28515625" style="114" customWidth="1"/>
    <col min="2567" max="2567" width="18.140625" style="114" customWidth="1"/>
    <col min="2568" max="2568" width="13.28515625" style="114" customWidth="1"/>
    <col min="2569" max="2570" width="9.140625" style="114"/>
    <col min="2571" max="2571" width="10.28515625" style="114" bestFit="1" customWidth="1"/>
    <col min="2572" max="2816" width="9.140625" style="114"/>
    <col min="2817" max="2817" width="42.42578125" style="114" customWidth="1"/>
    <col min="2818" max="2818" width="17" style="114" bestFit="1" customWidth="1"/>
    <col min="2819" max="2821" width="0" style="114" hidden="1" customWidth="1"/>
    <col min="2822" max="2822" width="16.28515625" style="114" customWidth="1"/>
    <col min="2823" max="2823" width="18.140625" style="114" customWidth="1"/>
    <col min="2824" max="2824" width="13.28515625" style="114" customWidth="1"/>
    <col min="2825" max="2826" width="9.140625" style="114"/>
    <col min="2827" max="2827" width="10.28515625" style="114" bestFit="1" customWidth="1"/>
    <col min="2828" max="3072" width="9.140625" style="114"/>
    <col min="3073" max="3073" width="42.42578125" style="114" customWidth="1"/>
    <col min="3074" max="3074" width="17" style="114" bestFit="1" customWidth="1"/>
    <col min="3075" max="3077" width="0" style="114" hidden="1" customWidth="1"/>
    <col min="3078" max="3078" width="16.28515625" style="114" customWidth="1"/>
    <col min="3079" max="3079" width="18.140625" style="114" customWidth="1"/>
    <col min="3080" max="3080" width="13.28515625" style="114" customWidth="1"/>
    <col min="3081" max="3082" width="9.140625" style="114"/>
    <col min="3083" max="3083" width="10.28515625" style="114" bestFit="1" customWidth="1"/>
    <col min="3084" max="3328" width="9.140625" style="114"/>
    <col min="3329" max="3329" width="42.42578125" style="114" customWidth="1"/>
    <col min="3330" max="3330" width="17" style="114" bestFit="1" customWidth="1"/>
    <col min="3331" max="3333" width="0" style="114" hidden="1" customWidth="1"/>
    <col min="3334" max="3334" width="16.28515625" style="114" customWidth="1"/>
    <col min="3335" max="3335" width="18.140625" style="114" customWidth="1"/>
    <col min="3336" max="3336" width="13.28515625" style="114" customWidth="1"/>
    <col min="3337" max="3338" width="9.140625" style="114"/>
    <col min="3339" max="3339" width="10.28515625" style="114" bestFit="1" customWidth="1"/>
    <col min="3340" max="3584" width="9.140625" style="114"/>
    <col min="3585" max="3585" width="42.42578125" style="114" customWidth="1"/>
    <col min="3586" max="3586" width="17" style="114" bestFit="1" customWidth="1"/>
    <col min="3587" max="3589" width="0" style="114" hidden="1" customWidth="1"/>
    <col min="3590" max="3590" width="16.28515625" style="114" customWidth="1"/>
    <col min="3591" max="3591" width="18.140625" style="114" customWidth="1"/>
    <col min="3592" max="3592" width="13.28515625" style="114" customWidth="1"/>
    <col min="3593" max="3594" width="9.140625" style="114"/>
    <col min="3595" max="3595" width="10.28515625" style="114" bestFit="1" customWidth="1"/>
    <col min="3596" max="3840" width="9.140625" style="114"/>
    <col min="3841" max="3841" width="42.42578125" style="114" customWidth="1"/>
    <col min="3842" max="3842" width="17" style="114" bestFit="1" customWidth="1"/>
    <col min="3843" max="3845" width="0" style="114" hidden="1" customWidth="1"/>
    <col min="3846" max="3846" width="16.28515625" style="114" customWidth="1"/>
    <col min="3847" max="3847" width="18.140625" style="114" customWidth="1"/>
    <col min="3848" max="3848" width="13.28515625" style="114" customWidth="1"/>
    <col min="3849" max="3850" width="9.140625" style="114"/>
    <col min="3851" max="3851" width="10.28515625" style="114" bestFit="1" customWidth="1"/>
    <col min="3852" max="4096" width="9.140625" style="114"/>
    <col min="4097" max="4097" width="42.42578125" style="114" customWidth="1"/>
    <col min="4098" max="4098" width="17" style="114" bestFit="1" customWidth="1"/>
    <col min="4099" max="4101" width="0" style="114" hidden="1" customWidth="1"/>
    <col min="4102" max="4102" width="16.28515625" style="114" customWidth="1"/>
    <col min="4103" max="4103" width="18.140625" style="114" customWidth="1"/>
    <col min="4104" max="4104" width="13.28515625" style="114" customWidth="1"/>
    <col min="4105" max="4106" width="9.140625" style="114"/>
    <col min="4107" max="4107" width="10.28515625" style="114" bestFit="1" customWidth="1"/>
    <col min="4108" max="4352" width="9.140625" style="114"/>
    <col min="4353" max="4353" width="42.42578125" style="114" customWidth="1"/>
    <col min="4354" max="4354" width="17" style="114" bestFit="1" customWidth="1"/>
    <col min="4355" max="4357" width="0" style="114" hidden="1" customWidth="1"/>
    <col min="4358" max="4358" width="16.28515625" style="114" customWidth="1"/>
    <col min="4359" max="4359" width="18.140625" style="114" customWidth="1"/>
    <col min="4360" max="4360" width="13.28515625" style="114" customWidth="1"/>
    <col min="4361" max="4362" width="9.140625" style="114"/>
    <col min="4363" max="4363" width="10.28515625" style="114" bestFit="1" customWidth="1"/>
    <col min="4364" max="4608" width="9.140625" style="114"/>
    <col min="4609" max="4609" width="42.42578125" style="114" customWidth="1"/>
    <col min="4610" max="4610" width="17" style="114" bestFit="1" customWidth="1"/>
    <col min="4611" max="4613" width="0" style="114" hidden="1" customWidth="1"/>
    <col min="4614" max="4614" width="16.28515625" style="114" customWidth="1"/>
    <col min="4615" max="4615" width="18.140625" style="114" customWidth="1"/>
    <col min="4616" max="4616" width="13.28515625" style="114" customWidth="1"/>
    <col min="4617" max="4618" width="9.140625" style="114"/>
    <col min="4619" max="4619" width="10.28515625" style="114" bestFit="1" customWidth="1"/>
    <col min="4620" max="4864" width="9.140625" style="114"/>
    <col min="4865" max="4865" width="42.42578125" style="114" customWidth="1"/>
    <col min="4866" max="4866" width="17" style="114" bestFit="1" customWidth="1"/>
    <col min="4867" max="4869" width="0" style="114" hidden="1" customWidth="1"/>
    <col min="4870" max="4870" width="16.28515625" style="114" customWidth="1"/>
    <col min="4871" max="4871" width="18.140625" style="114" customWidth="1"/>
    <col min="4872" max="4872" width="13.28515625" style="114" customWidth="1"/>
    <col min="4873" max="4874" width="9.140625" style="114"/>
    <col min="4875" max="4875" width="10.28515625" style="114" bestFit="1" customWidth="1"/>
    <col min="4876" max="5120" width="9.140625" style="114"/>
    <col min="5121" max="5121" width="42.42578125" style="114" customWidth="1"/>
    <col min="5122" max="5122" width="17" style="114" bestFit="1" customWidth="1"/>
    <col min="5123" max="5125" width="0" style="114" hidden="1" customWidth="1"/>
    <col min="5126" max="5126" width="16.28515625" style="114" customWidth="1"/>
    <col min="5127" max="5127" width="18.140625" style="114" customWidth="1"/>
    <col min="5128" max="5128" width="13.28515625" style="114" customWidth="1"/>
    <col min="5129" max="5130" width="9.140625" style="114"/>
    <col min="5131" max="5131" width="10.28515625" style="114" bestFit="1" customWidth="1"/>
    <col min="5132" max="5376" width="9.140625" style="114"/>
    <col min="5377" max="5377" width="42.42578125" style="114" customWidth="1"/>
    <col min="5378" max="5378" width="17" style="114" bestFit="1" customWidth="1"/>
    <col min="5379" max="5381" width="0" style="114" hidden="1" customWidth="1"/>
    <col min="5382" max="5382" width="16.28515625" style="114" customWidth="1"/>
    <col min="5383" max="5383" width="18.140625" style="114" customWidth="1"/>
    <col min="5384" max="5384" width="13.28515625" style="114" customWidth="1"/>
    <col min="5385" max="5386" width="9.140625" style="114"/>
    <col min="5387" max="5387" width="10.28515625" style="114" bestFit="1" customWidth="1"/>
    <col min="5388" max="5632" width="9.140625" style="114"/>
    <col min="5633" max="5633" width="42.42578125" style="114" customWidth="1"/>
    <col min="5634" max="5634" width="17" style="114" bestFit="1" customWidth="1"/>
    <col min="5635" max="5637" width="0" style="114" hidden="1" customWidth="1"/>
    <col min="5638" max="5638" width="16.28515625" style="114" customWidth="1"/>
    <col min="5639" max="5639" width="18.140625" style="114" customWidth="1"/>
    <col min="5640" max="5640" width="13.28515625" style="114" customWidth="1"/>
    <col min="5641" max="5642" width="9.140625" style="114"/>
    <col min="5643" max="5643" width="10.28515625" style="114" bestFit="1" customWidth="1"/>
    <col min="5644" max="5888" width="9.140625" style="114"/>
    <col min="5889" max="5889" width="42.42578125" style="114" customWidth="1"/>
    <col min="5890" max="5890" width="17" style="114" bestFit="1" customWidth="1"/>
    <col min="5891" max="5893" width="0" style="114" hidden="1" customWidth="1"/>
    <col min="5894" max="5894" width="16.28515625" style="114" customWidth="1"/>
    <col min="5895" max="5895" width="18.140625" style="114" customWidth="1"/>
    <col min="5896" max="5896" width="13.28515625" style="114" customWidth="1"/>
    <col min="5897" max="5898" width="9.140625" style="114"/>
    <col min="5899" max="5899" width="10.28515625" style="114" bestFit="1" customWidth="1"/>
    <col min="5900" max="6144" width="9.140625" style="114"/>
    <col min="6145" max="6145" width="42.42578125" style="114" customWidth="1"/>
    <col min="6146" max="6146" width="17" style="114" bestFit="1" customWidth="1"/>
    <col min="6147" max="6149" width="0" style="114" hidden="1" customWidth="1"/>
    <col min="6150" max="6150" width="16.28515625" style="114" customWidth="1"/>
    <col min="6151" max="6151" width="18.140625" style="114" customWidth="1"/>
    <col min="6152" max="6152" width="13.28515625" style="114" customWidth="1"/>
    <col min="6153" max="6154" width="9.140625" style="114"/>
    <col min="6155" max="6155" width="10.28515625" style="114" bestFit="1" customWidth="1"/>
    <col min="6156" max="6400" width="9.140625" style="114"/>
    <col min="6401" max="6401" width="42.42578125" style="114" customWidth="1"/>
    <col min="6402" max="6402" width="17" style="114" bestFit="1" customWidth="1"/>
    <col min="6403" max="6405" width="0" style="114" hidden="1" customWidth="1"/>
    <col min="6406" max="6406" width="16.28515625" style="114" customWidth="1"/>
    <col min="6407" max="6407" width="18.140625" style="114" customWidth="1"/>
    <col min="6408" max="6408" width="13.28515625" style="114" customWidth="1"/>
    <col min="6409" max="6410" width="9.140625" style="114"/>
    <col min="6411" max="6411" width="10.28515625" style="114" bestFit="1" customWidth="1"/>
    <col min="6412" max="6656" width="9.140625" style="114"/>
    <col min="6657" max="6657" width="42.42578125" style="114" customWidth="1"/>
    <col min="6658" max="6658" width="17" style="114" bestFit="1" customWidth="1"/>
    <col min="6659" max="6661" width="0" style="114" hidden="1" customWidth="1"/>
    <col min="6662" max="6662" width="16.28515625" style="114" customWidth="1"/>
    <col min="6663" max="6663" width="18.140625" style="114" customWidth="1"/>
    <col min="6664" max="6664" width="13.28515625" style="114" customWidth="1"/>
    <col min="6665" max="6666" width="9.140625" style="114"/>
    <col min="6667" max="6667" width="10.28515625" style="114" bestFit="1" customWidth="1"/>
    <col min="6668" max="6912" width="9.140625" style="114"/>
    <col min="6913" max="6913" width="42.42578125" style="114" customWidth="1"/>
    <col min="6914" max="6914" width="17" style="114" bestFit="1" customWidth="1"/>
    <col min="6915" max="6917" width="0" style="114" hidden="1" customWidth="1"/>
    <col min="6918" max="6918" width="16.28515625" style="114" customWidth="1"/>
    <col min="6919" max="6919" width="18.140625" style="114" customWidth="1"/>
    <col min="6920" max="6920" width="13.28515625" style="114" customWidth="1"/>
    <col min="6921" max="6922" width="9.140625" style="114"/>
    <col min="6923" max="6923" width="10.28515625" style="114" bestFit="1" customWidth="1"/>
    <col min="6924" max="7168" width="9.140625" style="114"/>
    <col min="7169" max="7169" width="42.42578125" style="114" customWidth="1"/>
    <col min="7170" max="7170" width="17" style="114" bestFit="1" customWidth="1"/>
    <col min="7171" max="7173" width="0" style="114" hidden="1" customWidth="1"/>
    <col min="7174" max="7174" width="16.28515625" style="114" customWidth="1"/>
    <col min="7175" max="7175" width="18.140625" style="114" customWidth="1"/>
    <col min="7176" max="7176" width="13.28515625" style="114" customWidth="1"/>
    <col min="7177" max="7178" width="9.140625" style="114"/>
    <col min="7179" max="7179" width="10.28515625" style="114" bestFit="1" customWidth="1"/>
    <col min="7180" max="7424" width="9.140625" style="114"/>
    <col min="7425" max="7425" width="42.42578125" style="114" customWidth="1"/>
    <col min="7426" max="7426" width="17" style="114" bestFit="1" customWidth="1"/>
    <col min="7427" max="7429" width="0" style="114" hidden="1" customWidth="1"/>
    <col min="7430" max="7430" width="16.28515625" style="114" customWidth="1"/>
    <col min="7431" max="7431" width="18.140625" style="114" customWidth="1"/>
    <col min="7432" max="7432" width="13.28515625" style="114" customWidth="1"/>
    <col min="7433" max="7434" width="9.140625" style="114"/>
    <col min="7435" max="7435" width="10.28515625" style="114" bestFit="1" customWidth="1"/>
    <col min="7436" max="7680" width="9.140625" style="114"/>
    <col min="7681" max="7681" width="42.42578125" style="114" customWidth="1"/>
    <col min="7682" max="7682" width="17" style="114" bestFit="1" customWidth="1"/>
    <col min="7683" max="7685" width="0" style="114" hidden="1" customWidth="1"/>
    <col min="7686" max="7686" width="16.28515625" style="114" customWidth="1"/>
    <col min="7687" max="7687" width="18.140625" style="114" customWidth="1"/>
    <col min="7688" max="7688" width="13.28515625" style="114" customWidth="1"/>
    <col min="7689" max="7690" width="9.140625" style="114"/>
    <col min="7691" max="7691" width="10.28515625" style="114" bestFit="1" customWidth="1"/>
    <col min="7692" max="7936" width="9.140625" style="114"/>
    <col min="7937" max="7937" width="42.42578125" style="114" customWidth="1"/>
    <col min="7938" max="7938" width="17" style="114" bestFit="1" customWidth="1"/>
    <col min="7939" max="7941" width="0" style="114" hidden="1" customWidth="1"/>
    <col min="7942" max="7942" width="16.28515625" style="114" customWidth="1"/>
    <col min="7943" max="7943" width="18.140625" style="114" customWidth="1"/>
    <col min="7944" max="7944" width="13.28515625" style="114" customWidth="1"/>
    <col min="7945" max="7946" width="9.140625" style="114"/>
    <col min="7947" max="7947" width="10.28515625" style="114" bestFit="1" customWidth="1"/>
    <col min="7948" max="8192" width="9.140625" style="114"/>
    <col min="8193" max="8193" width="42.42578125" style="114" customWidth="1"/>
    <col min="8194" max="8194" width="17" style="114" bestFit="1" customWidth="1"/>
    <col min="8195" max="8197" width="0" style="114" hidden="1" customWidth="1"/>
    <col min="8198" max="8198" width="16.28515625" style="114" customWidth="1"/>
    <col min="8199" max="8199" width="18.140625" style="114" customWidth="1"/>
    <col min="8200" max="8200" width="13.28515625" style="114" customWidth="1"/>
    <col min="8201" max="8202" width="9.140625" style="114"/>
    <col min="8203" max="8203" width="10.28515625" style="114" bestFit="1" customWidth="1"/>
    <col min="8204" max="8448" width="9.140625" style="114"/>
    <col min="8449" max="8449" width="42.42578125" style="114" customWidth="1"/>
    <col min="8450" max="8450" width="17" style="114" bestFit="1" customWidth="1"/>
    <col min="8451" max="8453" width="0" style="114" hidden="1" customWidth="1"/>
    <col min="8454" max="8454" width="16.28515625" style="114" customWidth="1"/>
    <col min="8455" max="8455" width="18.140625" style="114" customWidth="1"/>
    <col min="8456" max="8456" width="13.28515625" style="114" customWidth="1"/>
    <col min="8457" max="8458" width="9.140625" style="114"/>
    <col min="8459" max="8459" width="10.28515625" style="114" bestFit="1" customWidth="1"/>
    <col min="8460" max="8704" width="9.140625" style="114"/>
    <col min="8705" max="8705" width="42.42578125" style="114" customWidth="1"/>
    <col min="8706" max="8706" width="17" style="114" bestFit="1" customWidth="1"/>
    <col min="8707" max="8709" width="0" style="114" hidden="1" customWidth="1"/>
    <col min="8710" max="8710" width="16.28515625" style="114" customWidth="1"/>
    <col min="8711" max="8711" width="18.140625" style="114" customWidth="1"/>
    <col min="8712" max="8712" width="13.28515625" style="114" customWidth="1"/>
    <col min="8713" max="8714" width="9.140625" style="114"/>
    <col min="8715" max="8715" width="10.28515625" style="114" bestFit="1" customWidth="1"/>
    <col min="8716" max="8960" width="9.140625" style="114"/>
    <col min="8961" max="8961" width="42.42578125" style="114" customWidth="1"/>
    <col min="8962" max="8962" width="17" style="114" bestFit="1" customWidth="1"/>
    <col min="8963" max="8965" width="0" style="114" hidden="1" customWidth="1"/>
    <col min="8966" max="8966" width="16.28515625" style="114" customWidth="1"/>
    <col min="8967" max="8967" width="18.140625" style="114" customWidth="1"/>
    <col min="8968" max="8968" width="13.28515625" style="114" customWidth="1"/>
    <col min="8969" max="8970" width="9.140625" style="114"/>
    <col min="8971" max="8971" width="10.28515625" style="114" bestFit="1" customWidth="1"/>
    <col min="8972" max="9216" width="9.140625" style="114"/>
    <col min="9217" max="9217" width="42.42578125" style="114" customWidth="1"/>
    <col min="9218" max="9218" width="17" style="114" bestFit="1" customWidth="1"/>
    <col min="9219" max="9221" width="0" style="114" hidden="1" customWidth="1"/>
    <col min="9222" max="9222" width="16.28515625" style="114" customWidth="1"/>
    <col min="9223" max="9223" width="18.140625" style="114" customWidth="1"/>
    <col min="9224" max="9224" width="13.28515625" style="114" customWidth="1"/>
    <col min="9225" max="9226" width="9.140625" style="114"/>
    <col min="9227" max="9227" width="10.28515625" style="114" bestFit="1" customWidth="1"/>
    <col min="9228" max="9472" width="9.140625" style="114"/>
    <col min="9473" max="9473" width="42.42578125" style="114" customWidth="1"/>
    <col min="9474" max="9474" width="17" style="114" bestFit="1" customWidth="1"/>
    <col min="9475" max="9477" width="0" style="114" hidden="1" customWidth="1"/>
    <col min="9478" max="9478" width="16.28515625" style="114" customWidth="1"/>
    <col min="9479" max="9479" width="18.140625" style="114" customWidth="1"/>
    <col min="9480" max="9480" width="13.28515625" style="114" customWidth="1"/>
    <col min="9481" max="9482" width="9.140625" style="114"/>
    <col min="9483" max="9483" width="10.28515625" style="114" bestFit="1" customWidth="1"/>
    <col min="9484" max="9728" width="9.140625" style="114"/>
    <col min="9729" max="9729" width="42.42578125" style="114" customWidth="1"/>
    <col min="9730" max="9730" width="17" style="114" bestFit="1" customWidth="1"/>
    <col min="9731" max="9733" width="0" style="114" hidden="1" customWidth="1"/>
    <col min="9734" max="9734" width="16.28515625" style="114" customWidth="1"/>
    <col min="9735" max="9735" width="18.140625" style="114" customWidth="1"/>
    <col min="9736" max="9736" width="13.28515625" style="114" customWidth="1"/>
    <col min="9737" max="9738" width="9.140625" style="114"/>
    <col min="9739" max="9739" width="10.28515625" style="114" bestFit="1" customWidth="1"/>
    <col min="9740" max="9984" width="9.140625" style="114"/>
    <col min="9985" max="9985" width="42.42578125" style="114" customWidth="1"/>
    <col min="9986" max="9986" width="17" style="114" bestFit="1" customWidth="1"/>
    <col min="9987" max="9989" width="0" style="114" hidden="1" customWidth="1"/>
    <col min="9990" max="9990" width="16.28515625" style="114" customWidth="1"/>
    <col min="9991" max="9991" width="18.140625" style="114" customWidth="1"/>
    <col min="9992" max="9992" width="13.28515625" style="114" customWidth="1"/>
    <col min="9993" max="9994" width="9.140625" style="114"/>
    <col min="9995" max="9995" width="10.28515625" style="114" bestFit="1" customWidth="1"/>
    <col min="9996" max="10240" width="9.140625" style="114"/>
    <col min="10241" max="10241" width="42.42578125" style="114" customWidth="1"/>
    <col min="10242" max="10242" width="17" style="114" bestFit="1" customWidth="1"/>
    <col min="10243" max="10245" width="0" style="114" hidden="1" customWidth="1"/>
    <col min="10246" max="10246" width="16.28515625" style="114" customWidth="1"/>
    <col min="10247" max="10247" width="18.140625" style="114" customWidth="1"/>
    <col min="10248" max="10248" width="13.28515625" style="114" customWidth="1"/>
    <col min="10249" max="10250" width="9.140625" style="114"/>
    <col min="10251" max="10251" width="10.28515625" style="114" bestFit="1" customWidth="1"/>
    <col min="10252" max="10496" width="9.140625" style="114"/>
    <col min="10497" max="10497" width="42.42578125" style="114" customWidth="1"/>
    <col min="10498" max="10498" width="17" style="114" bestFit="1" customWidth="1"/>
    <col min="10499" max="10501" width="0" style="114" hidden="1" customWidth="1"/>
    <col min="10502" max="10502" width="16.28515625" style="114" customWidth="1"/>
    <col min="10503" max="10503" width="18.140625" style="114" customWidth="1"/>
    <col min="10504" max="10504" width="13.28515625" style="114" customWidth="1"/>
    <col min="10505" max="10506" width="9.140625" style="114"/>
    <col min="10507" max="10507" width="10.28515625" style="114" bestFit="1" customWidth="1"/>
    <col min="10508" max="10752" width="9.140625" style="114"/>
    <col min="10753" max="10753" width="42.42578125" style="114" customWidth="1"/>
    <col min="10754" max="10754" width="17" style="114" bestFit="1" customWidth="1"/>
    <col min="10755" max="10757" width="0" style="114" hidden="1" customWidth="1"/>
    <col min="10758" max="10758" width="16.28515625" style="114" customWidth="1"/>
    <col min="10759" max="10759" width="18.140625" style="114" customWidth="1"/>
    <col min="10760" max="10760" width="13.28515625" style="114" customWidth="1"/>
    <col min="10761" max="10762" width="9.140625" style="114"/>
    <col min="10763" max="10763" width="10.28515625" style="114" bestFit="1" customWidth="1"/>
    <col min="10764" max="11008" width="9.140625" style="114"/>
    <col min="11009" max="11009" width="42.42578125" style="114" customWidth="1"/>
    <col min="11010" max="11010" width="17" style="114" bestFit="1" customWidth="1"/>
    <col min="11011" max="11013" width="0" style="114" hidden="1" customWidth="1"/>
    <col min="11014" max="11014" width="16.28515625" style="114" customWidth="1"/>
    <col min="11015" max="11015" width="18.140625" style="114" customWidth="1"/>
    <col min="11016" max="11016" width="13.28515625" style="114" customWidth="1"/>
    <col min="11017" max="11018" width="9.140625" style="114"/>
    <col min="11019" max="11019" width="10.28515625" style="114" bestFit="1" customWidth="1"/>
    <col min="11020" max="11264" width="9.140625" style="114"/>
    <col min="11265" max="11265" width="42.42578125" style="114" customWidth="1"/>
    <col min="11266" max="11266" width="17" style="114" bestFit="1" customWidth="1"/>
    <col min="11267" max="11269" width="0" style="114" hidden="1" customWidth="1"/>
    <col min="11270" max="11270" width="16.28515625" style="114" customWidth="1"/>
    <col min="11271" max="11271" width="18.140625" style="114" customWidth="1"/>
    <col min="11272" max="11272" width="13.28515625" style="114" customWidth="1"/>
    <col min="11273" max="11274" width="9.140625" style="114"/>
    <col min="11275" max="11275" width="10.28515625" style="114" bestFit="1" customWidth="1"/>
    <col min="11276" max="11520" width="9.140625" style="114"/>
    <col min="11521" max="11521" width="42.42578125" style="114" customWidth="1"/>
    <col min="11522" max="11522" width="17" style="114" bestFit="1" customWidth="1"/>
    <col min="11523" max="11525" width="0" style="114" hidden="1" customWidth="1"/>
    <col min="11526" max="11526" width="16.28515625" style="114" customWidth="1"/>
    <col min="11527" max="11527" width="18.140625" style="114" customWidth="1"/>
    <col min="11528" max="11528" width="13.28515625" style="114" customWidth="1"/>
    <col min="11529" max="11530" width="9.140625" style="114"/>
    <col min="11531" max="11531" width="10.28515625" style="114" bestFit="1" customWidth="1"/>
    <col min="11532" max="11776" width="9.140625" style="114"/>
    <col min="11777" max="11777" width="42.42578125" style="114" customWidth="1"/>
    <col min="11778" max="11778" width="17" style="114" bestFit="1" customWidth="1"/>
    <col min="11779" max="11781" width="0" style="114" hidden="1" customWidth="1"/>
    <col min="11782" max="11782" width="16.28515625" style="114" customWidth="1"/>
    <col min="11783" max="11783" width="18.140625" style="114" customWidth="1"/>
    <col min="11784" max="11784" width="13.28515625" style="114" customWidth="1"/>
    <col min="11785" max="11786" width="9.140625" style="114"/>
    <col min="11787" max="11787" width="10.28515625" style="114" bestFit="1" customWidth="1"/>
    <col min="11788" max="12032" width="9.140625" style="114"/>
    <col min="12033" max="12033" width="42.42578125" style="114" customWidth="1"/>
    <col min="12034" max="12034" width="17" style="114" bestFit="1" customWidth="1"/>
    <col min="12035" max="12037" width="0" style="114" hidden="1" customWidth="1"/>
    <col min="12038" max="12038" width="16.28515625" style="114" customWidth="1"/>
    <col min="12039" max="12039" width="18.140625" style="114" customWidth="1"/>
    <col min="12040" max="12040" width="13.28515625" style="114" customWidth="1"/>
    <col min="12041" max="12042" width="9.140625" style="114"/>
    <col min="12043" max="12043" width="10.28515625" style="114" bestFit="1" customWidth="1"/>
    <col min="12044" max="12288" width="9.140625" style="114"/>
    <col min="12289" max="12289" width="42.42578125" style="114" customWidth="1"/>
    <col min="12290" max="12290" width="17" style="114" bestFit="1" customWidth="1"/>
    <col min="12291" max="12293" width="0" style="114" hidden="1" customWidth="1"/>
    <col min="12294" max="12294" width="16.28515625" style="114" customWidth="1"/>
    <col min="12295" max="12295" width="18.140625" style="114" customWidth="1"/>
    <col min="12296" max="12296" width="13.28515625" style="114" customWidth="1"/>
    <col min="12297" max="12298" width="9.140625" style="114"/>
    <col min="12299" max="12299" width="10.28515625" style="114" bestFit="1" customWidth="1"/>
    <col min="12300" max="12544" width="9.140625" style="114"/>
    <col min="12545" max="12545" width="42.42578125" style="114" customWidth="1"/>
    <col min="12546" max="12546" width="17" style="114" bestFit="1" customWidth="1"/>
    <col min="12547" max="12549" width="0" style="114" hidden="1" customWidth="1"/>
    <col min="12550" max="12550" width="16.28515625" style="114" customWidth="1"/>
    <col min="12551" max="12551" width="18.140625" style="114" customWidth="1"/>
    <col min="12552" max="12552" width="13.28515625" style="114" customWidth="1"/>
    <col min="12553" max="12554" width="9.140625" style="114"/>
    <col min="12555" max="12555" width="10.28515625" style="114" bestFit="1" customWidth="1"/>
    <col min="12556" max="12800" width="9.140625" style="114"/>
    <col min="12801" max="12801" width="42.42578125" style="114" customWidth="1"/>
    <col min="12802" max="12802" width="17" style="114" bestFit="1" customWidth="1"/>
    <col min="12803" max="12805" width="0" style="114" hidden="1" customWidth="1"/>
    <col min="12806" max="12806" width="16.28515625" style="114" customWidth="1"/>
    <col min="12807" max="12807" width="18.140625" style="114" customWidth="1"/>
    <col min="12808" max="12808" width="13.28515625" style="114" customWidth="1"/>
    <col min="12809" max="12810" width="9.140625" style="114"/>
    <col min="12811" max="12811" width="10.28515625" style="114" bestFit="1" customWidth="1"/>
    <col min="12812" max="13056" width="9.140625" style="114"/>
    <col min="13057" max="13057" width="42.42578125" style="114" customWidth="1"/>
    <col min="13058" max="13058" width="17" style="114" bestFit="1" customWidth="1"/>
    <col min="13059" max="13061" width="0" style="114" hidden="1" customWidth="1"/>
    <col min="13062" max="13062" width="16.28515625" style="114" customWidth="1"/>
    <col min="13063" max="13063" width="18.140625" style="114" customWidth="1"/>
    <col min="13064" max="13064" width="13.28515625" style="114" customWidth="1"/>
    <col min="13065" max="13066" width="9.140625" style="114"/>
    <col min="13067" max="13067" width="10.28515625" style="114" bestFit="1" customWidth="1"/>
    <col min="13068" max="13312" width="9.140625" style="114"/>
    <col min="13313" max="13313" width="42.42578125" style="114" customWidth="1"/>
    <col min="13314" max="13314" width="17" style="114" bestFit="1" customWidth="1"/>
    <col min="13315" max="13317" width="0" style="114" hidden="1" customWidth="1"/>
    <col min="13318" max="13318" width="16.28515625" style="114" customWidth="1"/>
    <col min="13319" max="13319" width="18.140625" style="114" customWidth="1"/>
    <col min="13320" max="13320" width="13.28515625" style="114" customWidth="1"/>
    <col min="13321" max="13322" width="9.140625" style="114"/>
    <col min="13323" max="13323" width="10.28515625" style="114" bestFit="1" customWidth="1"/>
    <col min="13324" max="13568" width="9.140625" style="114"/>
    <col min="13569" max="13569" width="42.42578125" style="114" customWidth="1"/>
    <col min="13570" max="13570" width="17" style="114" bestFit="1" customWidth="1"/>
    <col min="13571" max="13573" width="0" style="114" hidden="1" customWidth="1"/>
    <col min="13574" max="13574" width="16.28515625" style="114" customWidth="1"/>
    <col min="13575" max="13575" width="18.140625" style="114" customWidth="1"/>
    <col min="13576" max="13576" width="13.28515625" style="114" customWidth="1"/>
    <col min="13577" max="13578" width="9.140625" style="114"/>
    <col min="13579" max="13579" width="10.28515625" style="114" bestFit="1" customWidth="1"/>
    <col min="13580" max="13824" width="9.140625" style="114"/>
    <col min="13825" max="13825" width="42.42578125" style="114" customWidth="1"/>
    <col min="13826" max="13826" width="17" style="114" bestFit="1" customWidth="1"/>
    <col min="13827" max="13829" width="0" style="114" hidden="1" customWidth="1"/>
    <col min="13830" max="13830" width="16.28515625" style="114" customWidth="1"/>
    <col min="13831" max="13831" width="18.140625" style="114" customWidth="1"/>
    <col min="13832" max="13832" width="13.28515625" style="114" customWidth="1"/>
    <col min="13833" max="13834" width="9.140625" style="114"/>
    <col min="13835" max="13835" width="10.28515625" style="114" bestFit="1" customWidth="1"/>
    <col min="13836" max="14080" width="9.140625" style="114"/>
    <col min="14081" max="14081" width="42.42578125" style="114" customWidth="1"/>
    <col min="14082" max="14082" width="17" style="114" bestFit="1" customWidth="1"/>
    <col min="14083" max="14085" width="0" style="114" hidden="1" customWidth="1"/>
    <col min="14086" max="14086" width="16.28515625" style="114" customWidth="1"/>
    <col min="14087" max="14087" width="18.140625" style="114" customWidth="1"/>
    <col min="14088" max="14088" width="13.28515625" style="114" customWidth="1"/>
    <col min="14089" max="14090" width="9.140625" style="114"/>
    <col min="14091" max="14091" width="10.28515625" style="114" bestFit="1" customWidth="1"/>
    <col min="14092" max="14336" width="9.140625" style="114"/>
    <col min="14337" max="14337" width="42.42578125" style="114" customWidth="1"/>
    <col min="14338" max="14338" width="17" style="114" bestFit="1" customWidth="1"/>
    <col min="14339" max="14341" width="0" style="114" hidden="1" customWidth="1"/>
    <col min="14342" max="14342" width="16.28515625" style="114" customWidth="1"/>
    <col min="14343" max="14343" width="18.140625" style="114" customWidth="1"/>
    <col min="14344" max="14344" width="13.28515625" style="114" customWidth="1"/>
    <col min="14345" max="14346" width="9.140625" style="114"/>
    <col min="14347" max="14347" width="10.28515625" style="114" bestFit="1" customWidth="1"/>
    <col min="14348" max="14592" width="9.140625" style="114"/>
    <col min="14593" max="14593" width="42.42578125" style="114" customWidth="1"/>
    <col min="14594" max="14594" width="17" style="114" bestFit="1" customWidth="1"/>
    <col min="14595" max="14597" width="0" style="114" hidden="1" customWidth="1"/>
    <col min="14598" max="14598" width="16.28515625" style="114" customWidth="1"/>
    <col min="14599" max="14599" width="18.140625" style="114" customWidth="1"/>
    <col min="14600" max="14600" width="13.28515625" style="114" customWidth="1"/>
    <col min="14601" max="14602" width="9.140625" style="114"/>
    <col min="14603" max="14603" width="10.28515625" style="114" bestFit="1" customWidth="1"/>
    <col min="14604" max="14848" width="9.140625" style="114"/>
    <col min="14849" max="14849" width="42.42578125" style="114" customWidth="1"/>
    <col min="14850" max="14850" width="17" style="114" bestFit="1" customWidth="1"/>
    <col min="14851" max="14853" width="0" style="114" hidden="1" customWidth="1"/>
    <col min="14854" max="14854" width="16.28515625" style="114" customWidth="1"/>
    <col min="14855" max="14855" width="18.140625" style="114" customWidth="1"/>
    <col min="14856" max="14856" width="13.28515625" style="114" customWidth="1"/>
    <col min="14857" max="14858" width="9.140625" style="114"/>
    <col min="14859" max="14859" width="10.28515625" style="114" bestFit="1" customWidth="1"/>
    <col min="14860" max="15104" width="9.140625" style="114"/>
    <col min="15105" max="15105" width="42.42578125" style="114" customWidth="1"/>
    <col min="15106" max="15106" width="17" style="114" bestFit="1" customWidth="1"/>
    <col min="15107" max="15109" width="0" style="114" hidden="1" customWidth="1"/>
    <col min="15110" max="15110" width="16.28515625" style="114" customWidth="1"/>
    <col min="15111" max="15111" width="18.140625" style="114" customWidth="1"/>
    <col min="15112" max="15112" width="13.28515625" style="114" customWidth="1"/>
    <col min="15113" max="15114" width="9.140625" style="114"/>
    <col min="15115" max="15115" width="10.28515625" style="114" bestFit="1" customWidth="1"/>
    <col min="15116" max="15360" width="9.140625" style="114"/>
    <col min="15361" max="15361" width="42.42578125" style="114" customWidth="1"/>
    <col min="15362" max="15362" width="17" style="114" bestFit="1" customWidth="1"/>
    <col min="15363" max="15365" width="0" style="114" hidden="1" customWidth="1"/>
    <col min="15366" max="15366" width="16.28515625" style="114" customWidth="1"/>
    <col min="15367" max="15367" width="18.140625" style="114" customWidth="1"/>
    <col min="15368" max="15368" width="13.28515625" style="114" customWidth="1"/>
    <col min="15369" max="15370" width="9.140625" style="114"/>
    <col min="15371" max="15371" width="10.28515625" style="114" bestFit="1" customWidth="1"/>
    <col min="15372" max="15616" width="9.140625" style="114"/>
    <col min="15617" max="15617" width="42.42578125" style="114" customWidth="1"/>
    <col min="15618" max="15618" width="17" style="114" bestFit="1" customWidth="1"/>
    <col min="15619" max="15621" width="0" style="114" hidden="1" customWidth="1"/>
    <col min="15622" max="15622" width="16.28515625" style="114" customWidth="1"/>
    <col min="15623" max="15623" width="18.140625" style="114" customWidth="1"/>
    <col min="15624" max="15624" width="13.28515625" style="114" customWidth="1"/>
    <col min="15625" max="15626" width="9.140625" style="114"/>
    <col min="15627" max="15627" width="10.28515625" style="114" bestFit="1" customWidth="1"/>
    <col min="15628" max="15872" width="9.140625" style="114"/>
    <col min="15873" max="15873" width="42.42578125" style="114" customWidth="1"/>
    <col min="15874" max="15874" width="17" style="114" bestFit="1" customWidth="1"/>
    <col min="15875" max="15877" width="0" style="114" hidden="1" customWidth="1"/>
    <col min="15878" max="15878" width="16.28515625" style="114" customWidth="1"/>
    <col min="15879" max="15879" width="18.140625" style="114" customWidth="1"/>
    <col min="15880" max="15880" width="13.28515625" style="114" customWidth="1"/>
    <col min="15881" max="15882" width="9.140625" style="114"/>
    <col min="15883" max="15883" width="10.28515625" style="114" bestFit="1" customWidth="1"/>
    <col min="15884" max="16128" width="9.140625" style="114"/>
    <col min="16129" max="16129" width="42.42578125" style="114" customWidth="1"/>
    <col min="16130" max="16130" width="17" style="114" bestFit="1" customWidth="1"/>
    <col min="16131" max="16133" width="0" style="114" hidden="1" customWidth="1"/>
    <col min="16134" max="16134" width="16.28515625" style="114" customWidth="1"/>
    <col min="16135" max="16135" width="18.140625" style="114" customWidth="1"/>
    <col min="16136" max="16136" width="13.28515625" style="114" customWidth="1"/>
    <col min="16137" max="16138" width="9.140625" style="114"/>
    <col min="16139" max="16139" width="10.28515625" style="114" bestFit="1" customWidth="1"/>
    <col min="16140" max="16384" width="9.140625" style="114"/>
  </cols>
  <sheetData>
    <row r="1" spans="1:13" hidden="1" x14ac:dyDescent="0.2"/>
    <row r="2" spans="1:13" ht="36" customHeight="1" thickBot="1" x14ac:dyDescent="0.25">
      <c r="A2" s="138" t="s">
        <v>596</v>
      </c>
      <c r="B2" s="139"/>
      <c r="C2" s="139"/>
      <c r="D2" s="139"/>
      <c r="E2" s="139"/>
      <c r="F2" s="139"/>
      <c r="G2" s="140"/>
      <c r="H2" s="133"/>
    </row>
    <row r="3" spans="1:13" ht="112.5" x14ac:dyDescent="0.2">
      <c r="A3" s="134" t="s">
        <v>579</v>
      </c>
      <c r="B3" s="135" t="s">
        <v>580</v>
      </c>
      <c r="C3" s="136" t="s">
        <v>581</v>
      </c>
      <c r="D3" s="136" t="s">
        <v>582</v>
      </c>
      <c r="E3" s="115" t="s">
        <v>583</v>
      </c>
      <c r="F3" s="115" t="s">
        <v>591</v>
      </c>
      <c r="G3" s="115" t="s">
        <v>592</v>
      </c>
    </row>
    <row r="4" spans="1:13" ht="45" customHeight="1" x14ac:dyDescent="0.3">
      <c r="A4" s="129" t="s">
        <v>584</v>
      </c>
      <c r="B4" s="116">
        <v>150</v>
      </c>
      <c r="C4" s="116">
        <f>'[1]Creditwise Points'!E30</f>
        <v>50</v>
      </c>
      <c r="D4" s="116">
        <f>'[1]Creditwise Points'!F30</f>
        <v>55</v>
      </c>
      <c r="E4" s="117">
        <f>'[1]Creditwise Points'!G30</f>
        <v>117</v>
      </c>
      <c r="F4" s="126">
        <f>EE!E33</f>
        <v>0</v>
      </c>
      <c r="G4" s="126">
        <f>EE!F33</f>
        <v>0</v>
      </c>
    </row>
    <row r="5" spans="1:13" ht="45" customHeight="1" x14ac:dyDescent="0.3">
      <c r="A5" s="129" t="s">
        <v>585</v>
      </c>
      <c r="B5" s="116">
        <v>100</v>
      </c>
      <c r="C5" s="116">
        <f>'[1]Creditwise Points'!E61</f>
        <v>40</v>
      </c>
      <c r="D5" s="116">
        <f>'[1]Creditwise Points'!F61</f>
        <v>20</v>
      </c>
      <c r="E5" s="117">
        <f>'[1]Creditwise Points'!G61</f>
        <v>72</v>
      </c>
      <c r="F5" s="126">
        <f>WC!E33</f>
        <v>0</v>
      </c>
      <c r="G5" s="126">
        <f>WC!F33</f>
        <v>0</v>
      </c>
    </row>
    <row r="6" spans="1:13" ht="45" customHeight="1" x14ac:dyDescent="0.3">
      <c r="A6" s="129" t="s">
        <v>586</v>
      </c>
      <c r="B6" s="116">
        <v>100</v>
      </c>
      <c r="C6" s="116">
        <f>'[1]Creditwise Points'!E90</f>
        <v>8</v>
      </c>
      <c r="D6" s="116">
        <f>'[1]Creditwise Points'!F90</f>
        <v>10</v>
      </c>
      <c r="E6" s="117">
        <f>'[1]Creditwise Points'!G90</f>
        <v>26</v>
      </c>
      <c r="F6" s="126">
        <f>RE!E14</f>
        <v>0</v>
      </c>
      <c r="G6" s="126">
        <f>RE!F14</f>
        <v>0</v>
      </c>
    </row>
    <row r="7" spans="1:13" ht="45" customHeight="1" x14ac:dyDescent="0.3">
      <c r="A7" s="129" t="s">
        <v>587</v>
      </c>
      <c r="B7" s="116">
        <v>100</v>
      </c>
      <c r="C7" s="116">
        <f>'[1]Creditwise Points'!E121</f>
        <v>50</v>
      </c>
      <c r="D7" s="116">
        <f>'[1]Creditwise Points'!F121</f>
        <v>15</v>
      </c>
      <c r="E7" s="117">
        <f>'[1]Creditwise Points'!G121</f>
        <v>71</v>
      </c>
      <c r="F7" s="126">
        <f>GHG!E45</f>
        <v>0</v>
      </c>
      <c r="G7" s="126">
        <f>GHG!F45</f>
        <v>0</v>
      </c>
    </row>
    <row r="8" spans="1:13" ht="45" customHeight="1" x14ac:dyDescent="0.3">
      <c r="A8" s="129" t="s">
        <v>588</v>
      </c>
      <c r="B8" s="116">
        <v>100</v>
      </c>
      <c r="C8" s="116">
        <f>'[1]Creditwise Points'!E157</f>
        <v>81</v>
      </c>
      <c r="D8" s="116">
        <f>'[1]Creditwise Points'!F157</f>
        <v>0</v>
      </c>
      <c r="E8" s="117">
        <f>'[1]Creditwise Points'!G157</f>
        <v>87</v>
      </c>
      <c r="F8" s="126">
        <f>WM!E38</f>
        <v>0</v>
      </c>
      <c r="G8" s="126">
        <f>WM!F38</f>
        <v>0</v>
      </c>
    </row>
    <row r="9" spans="1:13" ht="49.5" customHeight="1" x14ac:dyDescent="0.3">
      <c r="A9" s="118" t="s">
        <v>589</v>
      </c>
      <c r="B9" s="116">
        <v>100</v>
      </c>
      <c r="C9" s="116">
        <f>'[1]Creditwise Points'!E188</f>
        <v>45</v>
      </c>
      <c r="D9" s="116">
        <f>'[1]Creditwise Points'!F188</f>
        <v>15</v>
      </c>
      <c r="E9" s="119">
        <f>'[1]Creditwise Points'!G188</f>
        <v>56</v>
      </c>
      <c r="F9" s="127">
        <f>MCR!E34</f>
        <v>0</v>
      </c>
      <c r="G9" s="127">
        <f>MCR!F34</f>
        <v>0</v>
      </c>
      <c r="K9" s="120"/>
    </row>
    <row r="10" spans="1:13" ht="45" customHeight="1" x14ac:dyDescent="0.3">
      <c r="A10" s="129" t="s">
        <v>590</v>
      </c>
      <c r="B10" s="116">
        <v>100</v>
      </c>
      <c r="C10" s="116">
        <f>'[1]Creditwise Points'!E218</f>
        <v>75</v>
      </c>
      <c r="D10" s="116">
        <f>'[1]Creditwise Points'!F218</f>
        <v>10</v>
      </c>
      <c r="E10" s="117">
        <f>'[1]Creditwise Points'!G218</f>
        <v>64</v>
      </c>
      <c r="F10" s="126">
        <f>GSC!E31</f>
        <v>0</v>
      </c>
      <c r="G10" s="126">
        <f>GSC!F31</f>
        <v>0</v>
      </c>
      <c r="K10" s="121"/>
      <c r="M10" s="122"/>
    </row>
    <row r="11" spans="1:13" ht="45" customHeight="1" x14ac:dyDescent="0.3">
      <c r="A11" s="129" t="s">
        <v>593</v>
      </c>
      <c r="B11" s="116">
        <v>125</v>
      </c>
      <c r="C11" s="116">
        <f>'[1]Creditwise Points'!E241</f>
        <v>52</v>
      </c>
      <c r="D11" s="116">
        <f>'[1]Creditwise Points'!F241</f>
        <v>10</v>
      </c>
      <c r="E11" s="117">
        <f>'[1]Creditwise Points'!G241</f>
        <v>60</v>
      </c>
      <c r="F11" s="126">
        <f>PSLCA!E29</f>
        <v>0</v>
      </c>
      <c r="G11" s="126">
        <f>PSLCA!F29</f>
        <v>0</v>
      </c>
      <c r="K11" s="123"/>
    </row>
    <row r="12" spans="1:13" ht="45" customHeight="1" x14ac:dyDescent="0.3">
      <c r="A12" s="129" t="s">
        <v>594</v>
      </c>
      <c r="B12" s="116">
        <v>50</v>
      </c>
      <c r="C12" s="116">
        <f>'[1]Creditwise Points'!E264</f>
        <v>40</v>
      </c>
      <c r="D12" s="116">
        <f>'[1]Creditwise Points'!F264</f>
        <v>10</v>
      </c>
      <c r="E12" s="117">
        <f>'[1]Creditwise Points'!G264</f>
        <v>65</v>
      </c>
      <c r="F12" s="126">
        <f>IE!E9</f>
        <v>0</v>
      </c>
      <c r="G12" s="126">
        <f>IE!F9</f>
        <v>0</v>
      </c>
      <c r="K12" s="122"/>
    </row>
    <row r="13" spans="1:13" ht="45" customHeight="1" x14ac:dyDescent="0.3">
      <c r="A13" s="129" t="s">
        <v>595</v>
      </c>
      <c r="B13" s="116">
        <v>75</v>
      </c>
      <c r="C13" s="116">
        <f>'[1]Creditwise Points'!E279</f>
        <v>40</v>
      </c>
      <c r="D13" s="116">
        <f>'[1]Creditwise Points'!F279</f>
        <v>30</v>
      </c>
      <c r="E13" s="117">
        <f>'[1]Creditwise Points'!G279</f>
        <v>80</v>
      </c>
      <c r="F13" s="126">
        <f>GI!E34</f>
        <v>0</v>
      </c>
      <c r="G13" s="126">
        <f>GI!F34</f>
        <v>0</v>
      </c>
    </row>
    <row r="14" spans="1:13" ht="45" customHeight="1" thickBot="1" x14ac:dyDescent="0.35">
      <c r="A14" s="130" t="s">
        <v>51</v>
      </c>
      <c r="B14" s="124">
        <f>SUM(B4:B13)</f>
        <v>1000</v>
      </c>
      <c r="C14" s="124">
        <f>'[1]Creditwise Points'!E281</f>
        <v>481</v>
      </c>
      <c r="D14" s="124">
        <f>SUM(D4:D13)</f>
        <v>175</v>
      </c>
      <c r="E14" s="125">
        <f>SUM(E4:E13)</f>
        <v>698</v>
      </c>
      <c r="F14" s="125">
        <f>SUM(F4:F13)</f>
        <v>0</v>
      </c>
      <c r="G14" s="125">
        <f>SUM(G4:G13)</f>
        <v>0</v>
      </c>
    </row>
    <row r="18" spans="1:1" ht="15" x14ac:dyDescent="0.25">
      <c r="A18" s="131"/>
    </row>
    <row r="19" spans="1:1" ht="15" x14ac:dyDescent="0.25">
      <c r="A19" s="131"/>
    </row>
  </sheetData>
  <mergeCells count="1">
    <mergeCell ref="A2:G2"/>
  </mergeCells>
  <printOptions horizontalCentered="1" verticalCentered="1"/>
  <pageMargins left="0" right="0" top="0" bottom="0"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6"/>
  <sheetViews>
    <sheetView topLeftCell="A26" zoomScale="80" zoomScaleNormal="80" workbookViewId="0">
      <selection activeCell="G32" sqref="G32"/>
    </sheetView>
  </sheetViews>
  <sheetFormatPr defaultRowHeight="12.75" x14ac:dyDescent="0.25"/>
  <cols>
    <col min="1" max="1" width="16.140625" style="63" customWidth="1"/>
    <col min="2" max="2" width="33.42578125" style="41" customWidth="1"/>
    <col min="3" max="4" width="9.7109375" style="63" customWidth="1"/>
    <col min="5" max="6" width="16.28515625" style="41" customWidth="1"/>
    <col min="7" max="7" width="66.5703125" style="41" customWidth="1"/>
    <col min="8" max="254" width="9.140625" style="41"/>
    <col min="255" max="255" width="16.140625" style="41" customWidth="1"/>
    <col min="256" max="256" width="33.42578125" style="41" customWidth="1"/>
    <col min="257" max="258" width="11.42578125" style="41" customWidth="1"/>
    <col min="259" max="259" width="17.7109375" style="41" customWidth="1"/>
    <col min="260" max="261" width="16.140625" style="41" customWidth="1"/>
    <col min="262" max="510" width="9.140625" style="41"/>
    <col min="511" max="511" width="16.140625" style="41" customWidth="1"/>
    <col min="512" max="512" width="33.42578125" style="41" customWidth="1"/>
    <col min="513" max="514" width="11.42578125" style="41" customWidth="1"/>
    <col min="515" max="515" width="17.7109375" style="41" customWidth="1"/>
    <col min="516" max="517" width="16.140625" style="41" customWidth="1"/>
    <col min="518" max="766" width="9.140625" style="41"/>
    <col min="767" max="767" width="16.140625" style="41" customWidth="1"/>
    <col min="768" max="768" width="33.42578125" style="41" customWidth="1"/>
    <col min="769" max="770" width="11.42578125" style="41" customWidth="1"/>
    <col min="771" max="771" width="17.7109375" style="41" customWidth="1"/>
    <col min="772" max="773" width="16.140625" style="41" customWidth="1"/>
    <col min="774" max="1022" width="9.140625" style="41"/>
    <col min="1023" max="1023" width="16.140625" style="41" customWidth="1"/>
    <col min="1024" max="1024" width="33.42578125" style="41" customWidth="1"/>
    <col min="1025" max="1026" width="11.42578125" style="41" customWidth="1"/>
    <col min="1027" max="1027" width="17.7109375" style="41" customWidth="1"/>
    <col min="1028" max="1029" width="16.140625" style="41" customWidth="1"/>
    <col min="1030" max="1278" width="9.140625" style="41"/>
    <col min="1279" max="1279" width="16.140625" style="41" customWidth="1"/>
    <col min="1280" max="1280" width="33.42578125" style="41" customWidth="1"/>
    <col min="1281" max="1282" width="11.42578125" style="41" customWidth="1"/>
    <col min="1283" max="1283" width="17.7109375" style="41" customWidth="1"/>
    <col min="1284" max="1285" width="16.140625" style="41" customWidth="1"/>
    <col min="1286" max="1534" width="9.140625" style="41"/>
    <col min="1535" max="1535" width="16.140625" style="41" customWidth="1"/>
    <col min="1536" max="1536" width="33.42578125" style="41" customWidth="1"/>
    <col min="1537" max="1538" width="11.42578125" style="41" customWidth="1"/>
    <col min="1539" max="1539" width="17.7109375" style="41" customWidth="1"/>
    <col min="1540" max="1541" width="16.140625" style="41" customWidth="1"/>
    <col min="1542" max="1790" width="9.140625" style="41"/>
    <col min="1791" max="1791" width="16.140625" style="41" customWidth="1"/>
    <col min="1792" max="1792" width="33.42578125" style="41" customWidth="1"/>
    <col min="1793" max="1794" width="11.42578125" style="41" customWidth="1"/>
    <col min="1795" max="1795" width="17.7109375" style="41" customWidth="1"/>
    <col min="1796" max="1797" width="16.140625" style="41" customWidth="1"/>
    <col min="1798" max="2046" width="9.140625" style="41"/>
    <col min="2047" max="2047" width="16.140625" style="41" customWidth="1"/>
    <col min="2048" max="2048" width="33.42578125" style="41" customWidth="1"/>
    <col min="2049" max="2050" width="11.42578125" style="41" customWidth="1"/>
    <col min="2051" max="2051" width="17.7109375" style="41" customWidth="1"/>
    <col min="2052" max="2053" width="16.140625" style="41" customWidth="1"/>
    <col min="2054" max="2302" width="9.140625" style="41"/>
    <col min="2303" max="2303" width="16.140625" style="41" customWidth="1"/>
    <col min="2304" max="2304" width="33.42578125" style="41" customWidth="1"/>
    <col min="2305" max="2306" width="11.42578125" style="41" customWidth="1"/>
    <col min="2307" max="2307" width="17.7109375" style="41" customWidth="1"/>
    <col min="2308" max="2309" width="16.140625" style="41" customWidth="1"/>
    <col min="2310" max="2558" width="9.140625" style="41"/>
    <col min="2559" max="2559" width="16.140625" style="41" customWidth="1"/>
    <col min="2560" max="2560" width="33.42578125" style="41" customWidth="1"/>
    <col min="2561" max="2562" width="11.42578125" style="41" customWidth="1"/>
    <col min="2563" max="2563" width="17.7109375" style="41" customWidth="1"/>
    <col min="2564" max="2565" width="16.140625" style="41" customWidth="1"/>
    <col min="2566" max="2814" width="9.140625" style="41"/>
    <col min="2815" max="2815" width="16.140625" style="41" customWidth="1"/>
    <col min="2816" max="2816" width="33.42578125" style="41" customWidth="1"/>
    <col min="2817" max="2818" width="11.42578125" style="41" customWidth="1"/>
    <col min="2819" max="2819" width="17.7109375" style="41" customWidth="1"/>
    <col min="2820" max="2821" width="16.140625" style="41" customWidth="1"/>
    <col min="2822" max="3070" width="9.140625" style="41"/>
    <col min="3071" max="3071" width="16.140625" style="41" customWidth="1"/>
    <col min="3072" max="3072" width="33.42578125" style="41" customWidth="1"/>
    <col min="3073" max="3074" width="11.42578125" style="41" customWidth="1"/>
    <col min="3075" max="3075" width="17.7109375" style="41" customWidth="1"/>
    <col min="3076" max="3077" width="16.140625" style="41" customWidth="1"/>
    <col min="3078" max="3326" width="9.140625" style="41"/>
    <col min="3327" max="3327" width="16.140625" style="41" customWidth="1"/>
    <col min="3328" max="3328" width="33.42578125" style="41" customWidth="1"/>
    <col min="3329" max="3330" width="11.42578125" style="41" customWidth="1"/>
    <col min="3331" max="3331" width="17.7109375" style="41" customWidth="1"/>
    <col min="3332" max="3333" width="16.140625" style="41" customWidth="1"/>
    <col min="3334" max="3582" width="9.140625" style="41"/>
    <col min="3583" max="3583" width="16.140625" style="41" customWidth="1"/>
    <col min="3584" max="3584" width="33.42578125" style="41" customWidth="1"/>
    <col min="3585" max="3586" width="11.42578125" style="41" customWidth="1"/>
    <col min="3587" max="3587" width="17.7109375" style="41" customWidth="1"/>
    <col min="3588" max="3589" width="16.140625" style="41" customWidth="1"/>
    <col min="3590" max="3838" width="9.140625" style="41"/>
    <col min="3839" max="3839" width="16.140625" style="41" customWidth="1"/>
    <col min="3840" max="3840" width="33.42578125" style="41" customWidth="1"/>
    <col min="3841" max="3842" width="11.42578125" style="41" customWidth="1"/>
    <col min="3843" max="3843" width="17.7109375" style="41" customWidth="1"/>
    <col min="3844" max="3845" width="16.140625" style="41" customWidth="1"/>
    <col min="3846" max="4094" width="9.140625" style="41"/>
    <col min="4095" max="4095" width="16.140625" style="41" customWidth="1"/>
    <col min="4096" max="4096" width="33.42578125" style="41" customWidth="1"/>
    <col min="4097" max="4098" width="11.42578125" style="41" customWidth="1"/>
    <col min="4099" max="4099" width="17.7109375" style="41" customWidth="1"/>
    <col min="4100" max="4101" width="16.140625" style="41" customWidth="1"/>
    <col min="4102" max="4350" width="9.140625" style="41"/>
    <col min="4351" max="4351" width="16.140625" style="41" customWidth="1"/>
    <col min="4352" max="4352" width="33.42578125" style="41" customWidth="1"/>
    <col min="4353" max="4354" width="11.42578125" style="41" customWidth="1"/>
    <col min="4355" max="4355" width="17.7109375" style="41" customWidth="1"/>
    <col min="4356" max="4357" width="16.140625" style="41" customWidth="1"/>
    <col min="4358" max="4606" width="9.140625" style="41"/>
    <col min="4607" max="4607" width="16.140625" style="41" customWidth="1"/>
    <col min="4608" max="4608" width="33.42578125" style="41" customWidth="1"/>
    <col min="4609" max="4610" width="11.42578125" style="41" customWidth="1"/>
    <col min="4611" max="4611" width="17.7109375" style="41" customWidth="1"/>
    <col min="4612" max="4613" width="16.140625" style="41" customWidth="1"/>
    <col min="4614" max="4862" width="9.140625" style="41"/>
    <col min="4863" max="4863" width="16.140625" style="41" customWidth="1"/>
    <col min="4864" max="4864" width="33.42578125" style="41" customWidth="1"/>
    <col min="4865" max="4866" width="11.42578125" style="41" customWidth="1"/>
    <col min="4867" max="4867" width="17.7109375" style="41" customWidth="1"/>
    <col min="4868" max="4869" width="16.140625" style="41" customWidth="1"/>
    <col min="4870" max="5118" width="9.140625" style="41"/>
    <col min="5119" max="5119" width="16.140625" style="41" customWidth="1"/>
    <col min="5120" max="5120" width="33.42578125" style="41" customWidth="1"/>
    <col min="5121" max="5122" width="11.42578125" style="41" customWidth="1"/>
    <col min="5123" max="5123" width="17.7109375" style="41" customWidth="1"/>
    <col min="5124" max="5125" width="16.140625" style="41" customWidth="1"/>
    <col min="5126" max="5374" width="9.140625" style="41"/>
    <col min="5375" max="5375" width="16.140625" style="41" customWidth="1"/>
    <col min="5376" max="5376" width="33.42578125" style="41" customWidth="1"/>
    <col min="5377" max="5378" width="11.42578125" style="41" customWidth="1"/>
    <col min="5379" max="5379" width="17.7109375" style="41" customWidth="1"/>
    <col min="5380" max="5381" width="16.140625" style="41" customWidth="1"/>
    <col min="5382" max="5630" width="9.140625" style="41"/>
    <col min="5631" max="5631" width="16.140625" style="41" customWidth="1"/>
    <col min="5632" max="5632" width="33.42578125" style="41" customWidth="1"/>
    <col min="5633" max="5634" width="11.42578125" style="41" customWidth="1"/>
    <col min="5635" max="5635" width="17.7109375" style="41" customWidth="1"/>
    <col min="5636" max="5637" width="16.140625" style="41" customWidth="1"/>
    <col min="5638" max="5886" width="9.140625" style="41"/>
    <col min="5887" max="5887" width="16.140625" style="41" customWidth="1"/>
    <col min="5888" max="5888" width="33.42578125" style="41" customWidth="1"/>
    <col min="5889" max="5890" width="11.42578125" style="41" customWidth="1"/>
    <col min="5891" max="5891" width="17.7109375" style="41" customWidth="1"/>
    <col min="5892" max="5893" width="16.140625" style="41" customWidth="1"/>
    <col min="5894" max="6142" width="9.140625" style="41"/>
    <col min="6143" max="6143" width="16.140625" style="41" customWidth="1"/>
    <col min="6144" max="6144" width="33.42578125" style="41" customWidth="1"/>
    <col min="6145" max="6146" width="11.42578125" style="41" customWidth="1"/>
    <col min="6147" max="6147" width="17.7109375" style="41" customWidth="1"/>
    <col min="6148" max="6149" width="16.140625" style="41" customWidth="1"/>
    <col min="6150" max="6398" width="9.140625" style="41"/>
    <col min="6399" max="6399" width="16.140625" style="41" customWidth="1"/>
    <col min="6400" max="6400" width="33.42578125" style="41" customWidth="1"/>
    <col min="6401" max="6402" width="11.42578125" style="41" customWidth="1"/>
    <col min="6403" max="6403" width="17.7109375" style="41" customWidth="1"/>
    <col min="6404" max="6405" width="16.140625" style="41" customWidth="1"/>
    <col min="6406" max="6654" width="9.140625" style="41"/>
    <col min="6655" max="6655" width="16.140625" style="41" customWidth="1"/>
    <col min="6656" max="6656" width="33.42578125" style="41" customWidth="1"/>
    <col min="6657" max="6658" width="11.42578125" style="41" customWidth="1"/>
    <col min="6659" max="6659" width="17.7109375" style="41" customWidth="1"/>
    <col min="6660" max="6661" width="16.140625" style="41" customWidth="1"/>
    <col min="6662" max="6910" width="9.140625" style="41"/>
    <col min="6911" max="6911" width="16.140625" style="41" customWidth="1"/>
    <col min="6912" max="6912" width="33.42578125" style="41" customWidth="1"/>
    <col min="6913" max="6914" width="11.42578125" style="41" customWidth="1"/>
    <col min="6915" max="6915" width="17.7109375" style="41" customWidth="1"/>
    <col min="6916" max="6917" width="16.140625" style="41" customWidth="1"/>
    <col min="6918" max="7166" width="9.140625" style="41"/>
    <col min="7167" max="7167" width="16.140625" style="41" customWidth="1"/>
    <col min="7168" max="7168" width="33.42578125" style="41" customWidth="1"/>
    <col min="7169" max="7170" width="11.42578125" style="41" customWidth="1"/>
    <col min="7171" max="7171" width="17.7109375" style="41" customWidth="1"/>
    <col min="7172" max="7173" width="16.140625" style="41" customWidth="1"/>
    <col min="7174" max="7422" width="9.140625" style="41"/>
    <col min="7423" max="7423" width="16.140625" style="41" customWidth="1"/>
    <col min="7424" max="7424" width="33.42578125" style="41" customWidth="1"/>
    <col min="7425" max="7426" width="11.42578125" style="41" customWidth="1"/>
    <col min="7427" max="7427" width="17.7109375" style="41" customWidth="1"/>
    <col min="7428" max="7429" width="16.140625" style="41" customWidth="1"/>
    <col min="7430" max="7678" width="9.140625" style="41"/>
    <col min="7679" max="7679" width="16.140625" style="41" customWidth="1"/>
    <col min="7680" max="7680" width="33.42578125" style="41" customWidth="1"/>
    <col min="7681" max="7682" width="11.42578125" style="41" customWidth="1"/>
    <col min="7683" max="7683" width="17.7109375" style="41" customWidth="1"/>
    <col min="7684" max="7685" width="16.140625" style="41" customWidth="1"/>
    <col min="7686" max="7934" width="9.140625" style="41"/>
    <col min="7935" max="7935" width="16.140625" style="41" customWidth="1"/>
    <col min="7936" max="7936" width="33.42578125" style="41" customWidth="1"/>
    <col min="7937" max="7938" width="11.42578125" style="41" customWidth="1"/>
    <col min="7939" max="7939" width="17.7109375" style="41" customWidth="1"/>
    <col min="7940" max="7941" width="16.140625" style="41" customWidth="1"/>
    <col min="7942" max="8190" width="9.140625" style="41"/>
    <col min="8191" max="8191" width="16.140625" style="41" customWidth="1"/>
    <col min="8192" max="8192" width="33.42578125" style="41" customWidth="1"/>
    <col min="8193" max="8194" width="11.42578125" style="41" customWidth="1"/>
    <col min="8195" max="8195" width="17.7109375" style="41" customWidth="1"/>
    <col min="8196" max="8197" width="16.140625" style="41" customWidth="1"/>
    <col min="8198" max="8446" width="9.140625" style="41"/>
    <col min="8447" max="8447" width="16.140625" style="41" customWidth="1"/>
    <col min="8448" max="8448" width="33.42578125" style="41" customWidth="1"/>
    <col min="8449" max="8450" width="11.42578125" style="41" customWidth="1"/>
    <col min="8451" max="8451" width="17.7109375" style="41" customWidth="1"/>
    <col min="8452" max="8453" width="16.140625" style="41" customWidth="1"/>
    <col min="8454" max="8702" width="9.140625" style="41"/>
    <col min="8703" max="8703" width="16.140625" style="41" customWidth="1"/>
    <col min="8704" max="8704" width="33.42578125" style="41" customWidth="1"/>
    <col min="8705" max="8706" width="11.42578125" style="41" customWidth="1"/>
    <col min="8707" max="8707" width="17.7109375" style="41" customWidth="1"/>
    <col min="8708" max="8709" width="16.140625" style="41" customWidth="1"/>
    <col min="8710" max="8958" width="9.140625" style="41"/>
    <col min="8959" max="8959" width="16.140625" style="41" customWidth="1"/>
    <col min="8960" max="8960" width="33.42578125" style="41" customWidth="1"/>
    <col min="8961" max="8962" width="11.42578125" style="41" customWidth="1"/>
    <col min="8963" max="8963" width="17.7109375" style="41" customWidth="1"/>
    <col min="8964" max="8965" width="16.140625" style="41" customWidth="1"/>
    <col min="8966" max="9214" width="9.140625" style="41"/>
    <col min="9215" max="9215" width="16.140625" style="41" customWidth="1"/>
    <col min="9216" max="9216" width="33.42578125" style="41" customWidth="1"/>
    <col min="9217" max="9218" width="11.42578125" style="41" customWidth="1"/>
    <col min="9219" max="9219" width="17.7109375" style="41" customWidth="1"/>
    <col min="9220" max="9221" width="16.140625" style="41" customWidth="1"/>
    <col min="9222" max="9470" width="9.140625" style="41"/>
    <col min="9471" max="9471" width="16.140625" style="41" customWidth="1"/>
    <col min="9472" max="9472" width="33.42578125" style="41" customWidth="1"/>
    <col min="9473" max="9474" width="11.42578125" style="41" customWidth="1"/>
    <col min="9475" max="9475" width="17.7109375" style="41" customWidth="1"/>
    <col min="9476" max="9477" width="16.140625" style="41" customWidth="1"/>
    <col min="9478" max="9726" width="9.140625" style="41"/>
    <col min="9727" max="9727" width="16.140625" style="41" customWidth="1"/>
    <col min="9728" max="9728" width="33.42578125" style="41" customWidth="1"/>
    <col min="9729" max="9730" width="11.42578125" style="41" customWidth="1"/>
    <col min="9731" max="9731" width="17.7109375" style="41" customWidth="1"/>
    <col min="9732" max="9733" width="16.140625" style="41" customWidth="1"/>
    <col min="9734" max="9982" width="9.140625" style="41"/>
    <col min="9983" max="9983" width="16.140625" style="41" customWidth="1"/>
    <col min="9984" max="9984" width="33.42578125" style="41" customWidth="1"/>
    <col min="9985" max="9986" width="11.42578125" style="41" customWidth="1"/>
    <col min="9987" max="9987" width="17.7109375" style="41" customWidth="1"/>
    <col min="9988" max="9989" width="16.140625" style="41" customWidth="1"/>
    <col min="9990" max="10238" width="9.140625" style="41"/>
    <col min="10239" max="10239" width="16.140625" style="41" customWidth="1"/>
    <col min="10240" max="10240" width="33.42578125" style="41" customWidth="1"/>
    <col min="10241" max="10242" width="11.42578125" style="41" customWidth="1"/>
    <col min="10243" max="10243" width="17.7109375" style="41" customWidth="1"/>
    <col min="10244" max="10245" width="16.140625" style="41" customWidth="1"/>
    <col min="10246" max="10494" width="9.140625" style="41"/>
    <col min="10495" max="10495" width="16.140625" style="41" customWidth="1"/>
    <col min="10496" max="10496" width="33.42578125" style="41" customWidth="1"/>
    <col min="10497" max="10498" width="11.42578125" style="41" customWidth="1"/>
    <col min="10499" max="10499" width="17.7109375" style="41" customWidth="1"/>
    <col min="10500" max="10501" width="16.140625" style="41" customWidth="1"/>
    <col min="10502" max="10750" width="9.140625" style="41"/>
    <col min="10751" max="10751" width="16.140625" style="41" customWidth="1"/>
    <col min="10752" max="10752" width="33.42578125" style="41" customWidth="1"/>
    <col min="10753" max="10754" width="11.42578125" style="41" customWidth="1"/>
    <col min="10755" max="10755" width="17.7109375" style="41" customWidth="1"/>
    <col min="10756" max="10757" width="16.140625" style="41" customWidth="1"/>
    <col min="10758" max="11006" width="9.140625" style="41"/>
    <col min="11007" max="11007" width="16.140625" style="41" customWidth="1"/>
    <col min="11008" max="11008" width="33.42578125" style="41" customWidth="1"/>
    <col min="11009" max="11010" width="11.42578125" style="41" customWidth="1"/>
    <col min="11011" max="11011" width="17.7109375" style="41" customWidth="1"/>
    <col min="11012" max="11013" width="16.140625" style="41" customWidth="1"/>
    <col min="11014" max="11262" width="9.140625" style="41"/>
    <col min="11263" max="11263" width="16.140625" style="41" customWidth="1"/>
    <col min="11264" max="11264" width="33.42578125" style="41" customWidth="1"/>
    <col min="11265" max="11266" width="11.42578125" style="41" customWidth="1"/>
    <col min="11267" max="11267" width="17.7109375" style="41" customWidth="1"/>
    <col min="11268" max="11269" width="16.140625" style="41" customWidth="1"/>
    <col min="11270" max="11518" width="9.140625" style="41"/>
    <col min="11519" max="11519" width="16.140625" style="41" customWidth="1"/>
    <col min="11520" max="11520" width="33.42578125" style="41" customWidth="1"/>
    <col min="11521" max="11522" width="11.42578125" style="41" customWidth="1"/>
    <col min="11523" max="11523" width="17.7109375" style="41" customWidth="1"/>
    <col min="11524" max="11525" width="16.140625" style="41" customWidth="1"/>
    <col min="11526" max="11774" width="9.140625" style="41"/>
    <col min="11775" max="11775" width="16.140625" style="41" customWidth="1"/>
    <col min="11776" max="11776" width="33.42578125" style="41" customWidth="1"/>
    <col min="11777" max="11778" width="11.42578125" style="41" customWidth="1"/>
    <col min="11779" max="11779" width="17.7109375" style="41" customWidth="1"/>
    <col min="11780" max="11781" width="16.140625" style="41" customWidth="1"/>
    <col min="11782" max="12030" width="9.140625" style="41"/>
    <col min="12031" max="12031" width="16.140625" style="41" customWidth="1"/>
    <col min="12032" max="12032" width="33.42578125" style="41" customWidth="1"/>
    <col min="12033" max="12034" width="11.42578125" style="41" customWidth="1"/>
    <col min="12035" max="12035" width="17.7109375" style="41" customWidth="1"/>
    <col min="12036" max="12037" width="16.140625" style="41" customWidth="1"/>
    <col min="12038" max="12286" width="9.140625" style="41"/>
    <col min="12287" max="12287" width="16.140625" style="41" customWidth="1"/>
    <col min="12288" max="12288" width="33.42578125" style="41" customWidth="1"/>
    <col min="12289" max="12290" width="11.42578125" style="41" customWidth="1"/>
    <col min="12291" max="12291" width="17.7109375" style="41" customWidth="1"/>
    <col min="12292" max="12293" width="16.140625" style="41" customWidth="1"/>
    <col min="12294" max="12542" width="9.140625" style="41"/>
    <col min="12543" max="12543" width="16.140625" style="41" customWidth="1"/>
    <col min="12544" max="12544" width="33.42578125" style="41" customWidth="1"/>
    <col min="12545" max="12546" width="11.42578125" style="41" customWidth="1"/>
    <col min="12547" max="12547" width="17.7109375" style="41" customWidth="1"/>
    <col min="12548" max="12549" width="16.140625" style="41" customWidth="1"/>
    <col min="12550" max="12798" width="9.140625" style="41"/>
    <col min="12799" max="12799" width="16.140625" style="41" customWidth="1"/>
    <col min="12800" max="12800" width="33.42578125" style="41" customWidth="1"/>
    <col min="12801" max="12802" width="11.42578125" style="41" customWidth="1"/>
    <col min="12803" max="12803" width="17.7109375" style="41" customWidth="1"/>
    <col min="12804" max="12805" width="16.140625" style="41" customWidth="1"/>
    <col min="12806" max="13054" width="9.140625" style="41"/>
    <col min="13055" max="13055" width="16.140625" style="41" customWidth="1"/>
    <col min="13056" max="13056" width="33.42578125" style="41" customWidth="1"/>
    <col min="13057" max="13058" width="11.42578125" style="41" customWidth="1"/>
    <col min="13059" max="13059" width="17.7109375" style="41" customWidth="1"/>
    <col min="13060" max="13061" width="16.140625" style="41" customWidth="1"/>
    <col min="13062" max="13310" width="9.140625" style="41"/>
    <col min="13311" max="13311" width="16.140625" style="41" customWidth="1"/>
    <col min="13312" max="13312" width="33.42578125" style="41" customWidth="1"/>
    <col min="13313" max="13314" width="11.42578125" style="41" customWidth="1"/>
    <col min="13315" max="13315" width="17.7109375" style="41" customWidth="1"/>
    <col min="13316" max="13317" width="16.140625" style="41" customWidth="1"/>
    <col min="13318" max="13566" width="9.140625" style="41"/>
    <col min="13567" max="13567" width="16.140625" style="41" customWidth="1"/>
    <col min="13568" max="13568" width="33.42578125" style="41" customWidth="1"/>
    <col min="13569" max="13570" width="11.42578125" style="41" customWidth="1"/>
    <col min="13571" max="13571" width="17.7109375" style="41" customWidth="1"/>
    <col min="13572" max="13573" width="16.140625" style="41" customWidth="1"/>
    <col min="13574" max="13822" width="9.140625" style="41"/>
    <col min="13823" max="13823" width="16.140625" style="41" customWidth="1"/>
    <col min="13824" max="13824" width="33.42578125" style="41" customWidth="1"/>
    <col min="13825" max="13826" width="11.42578125" style="41" customWidth="1"/>
    <col min="13827" max="13827" width="17.7109375" style="41" customWidth="1"/>
    <col min="13828" max="13829" width="16.140625" style="41" customWidth="1"/>
    <col min="13830" max="14078" width="9.140625" style="41"/>
    <col min="14079" max="14079" width="16.140625" style="41" customWidth="1"/>
    <col min="14080" max="14080" width="33.42578125" style="41" customWidth="1"/>
    <col min="14081" max="14082" width="11.42578125" style="41" customWidth="1"/>
    <col min="14083" max="14083" width="17.7109375" style="41" customWidth="1"/>
    <col min="14084" max="14085" width="16.140625" style="41" customWidth="1"/>
    <col min="14086" max="14334" width="9.140625" style="41"/>
    <col min="14335" max="14335" width="16.140625" style="41" customWidth="1"/>
    <col min="14336" max="14336" width="33.42578125" style="41" customWidth="1"/>
    <col min="14337" max="14338" width="11.42578125" style="41" customWidth="1"/>
    <col min="14339" max="14339" width="17.7109375" style="41" customWidth="1"/>
    <col min="14340" max="14341" width="16.140625" style="41" customWidth="1"/>
    <col min="14342" max="14590" width="9.140625" style="41"/>
    <col min="14591" max="14591" width="16.140625" style="41" customWidth="1"/>
    <col min="14592" max="14592" width="33.42578125" style="41" customWidth="1"/>
    <col min="14593" max="14594" width="11.42578125" style="41" customWidth="1"/>
    <col min="14595" max="14595" width="17.7109375" style="41" customWidth="1"/>
    <col min="14596" max="14597" width="16.140625" style="41" customWidth="1"/>
    <col min="14598" max="14846" width="9.140625" style="41"/>
    <col min="14847" max="14847" width="16.140625" style="41" customWidth="1"/>
    <col min="14848" max="14848" width="33.42578125" style="41" customWidth="1"/>
    <col min="14849" max="14850" width="11.42578125" style="41" customWidth="1"/>
    <col min="14851" max="14851" width="17.7109375" style="41" customWidth="1"/>
    <col min="14852" max="14853" width="16.140625" style="41" customWidth="1"/>
    <col min="14854" max="15102" width="9.140625" style="41"/>
    <col min="15103" max="15103" width="16.140625" style="41" customWidth="1"/>
    <col min="15104" max="15104" width="33.42578125" style="41" customWidth="1"/>
    <col min="15105" max="15106" width="11.42578125" style="41" customWidth="1"/>
    <col min="15107" max="15107" width="17.7109375" style="41" customWidth="1"/>
    <col min="15108" max="15109" width="16.140625" style="41" customWidth="1"/>
    <col min="15110" max="15358" width="9.140625" style="41"/>
    <col min="15359" max="15359" width="16.140625" style="41" customWidth="1"/>
    <col min="15360" max="15360" width="33.42578125" style="41" customWidth="1"/>
    <col min="15361" max="15362" width="11.42578125" style="41" customWidth="1"/>
    <col min="15363" max="15363" width="17.7109375" style="41" customWidth="1"/>
    <col min="15364" max="15365" width="16.140625" style="41" customWidth="1"/>
    <col min="15366" max="15614" width="9.140625" style="41"/>
    <col min="15615" max="15615" width="16.140625" style="41" customWidth="1"/>
    <col min="15616" max="15616" width="33.42578125" style="41" customWidth="1"/>
    <col min="15617" max="15618" width="11.42578125" style="41" customWidth="1"/>
    <col min="15619" max="15619" width="17.7109375" style="41" customWidth="1"/>
    <col min="15620" max="15621" width="16.140625" style="41" customWidth="1"/>
    <col min="15622" max="15870" width="9.140625" style="41"/>
    <col min="15871" max="15871" width="16.140625" style="41" customWidth="1"/>
    <col min="15872" max="15872" width="33.42578125" style="41" customWidth="1"/>
    <col min="15873" max="15874" width="11.42578125" style="41" customWidth="1"/>
    <col min="15875" max="15875" width="17.7109375" style="41" customWidth="1"/>
    <col min="15876" max="15877" width="16.140625" style="41" customWidth="1"/>
    <col min="15878" max="16126" width="9.140625" style="41"/>
    <col min="16127" max="16127" width="16.140625" style="41" customWidth="1"/>
    <col min="16128" max="16128" width="33.42578125" style="41" customWidth="1"/>
    <col min="16129" max="16130" width="11.42578125" style="41" customWidth="1"/>
    <col min="16131" max="16131" width="17.7109375" style="41" customWidth="1"/>
    <col min="16132" max="16133" width="16.140625" style="41" customWidth="1"/>
    <col min="16134" max="16384" width="9.140625" style="41"/>
  </cols>
  <sheetData>
    <row r="1" spans="1:7" x14ac:dyDescent="0.25">
      <c r="A1" s="141" t="s">
        <v>136</v>
      </c>
      <c r="B1" s="141"/>
      <c r="C1" s="141"/>
      <c r="D1" s="141"/>
      <c r="E1" s="141"/>
      <c r="F1" s="141"/>
      <c r="G1" s="141"/>
    </row>
    <row r="2" spans="1:7" s="55" customFormat="1" ht="38.25" x14ac:dyDescent="0.25">
      <c r="A2" s="38" t="s">
        <v>0</v>
      </c>
      <c r="B2" s="38" t="s">
        <v>1</v>
      </c>
      <c r="C2" s="141" t="s">
        <v>2</v>
      </c>
      <c r="D2" s="141"/>
      <c r="E2" s="38" t="s">
        <v>3</v>
      </c>
      <c r="F2" s="38" t="s">
        <v>4</v>
      </c>
      <c r="G2" s="38" t="s">
        <v>5</v>
      </c>
    </row>
    <row r="3" spans="1:7" ht="63.75" x14ac:dyDescent="0.25">
      <c r="A3" s="21" t="s">
        <v>137</v>
      </c>
      <c r="B3" s="37" t="s">
        <v>293</v>
      </c>
      <c r="C3" s="15"/>
      <c r="D3" s="15"/>
      <c r="E3" s="14"/>
      <c r="F3" s="14"/>
      <c r="G3" s="14" t="s">
        <v>138</v>
      </c>
    </row>
    <row r="4" spans="1:7" ht="76.5" x14ac:dyDescent="0.25">
      <c r="A4" s="21" t="s">
        <v>140</v>
      </c>
      <c r="B4" s="37" t="s">
        <v>139</v>
      </c>
      <c r="C4" s="15"/>
      <c r="D4" s="15"/>
      <c r="E4" s="14"/>
      <c r="F4" s="14"/>
      <c r="G4" s="14" t="s">
        <v>317</v>
      </c>
    </row>
    <row r="5" spans="1:7" ht="76.5" x14ac:dyDescent="0.25">
      <c r="A5" s="21" t="s">
        <v>142</v>
      </c>
      <c r="B5" s="37" t="s">
        <v>141</v>
      </c>
      <c r="C5" s="15"/>
      <c r="D5" s="15"/>
      <c r="E5" s="14"/>
      <c r="F5" s="14"/>
      <c r="G5" s="14" t="s">
        <v>289</v>
      </c>
    </row>
    <row r="6" spans="1:7" s="57" customFormat="1" x14ac:dyDescent="0.25">
      <c r="A6" s="21" t="s">
        <v>182</v>
      </c>
      <c r="B6" s="33" t="s">
        <v>12</v>
      </c>
      <c r="C6" s="21">
        <v>20</v>
      </c>
      <c r="D6" s="21"/>
      <c r="E6" s="21"/>
      <c r="F6" s="21"/>
      <c r="G6" s="33"/>
    </row>
    <row r="7" spans="1:7" s="59" customFormat="1" ht="27" customHeight="1" x14ac:dyDescent="0.25">
      <c r="A7" s="39" t="s">
        <v>183</v>
      </c>
      <c r="B7" s="58" t="s">
        <v>184</v>
      </c>
      <c r="C7" s="38"/>
      <c r="D7" s="39">
        <v>10</v>
      </c>
      <c r="E7" s="39"/>
      <c r="F7" s="39"/>
      <c r="G7" s="58"/>
    </row>
    <row r="8" spans="1:7" s="59" customFormat="1" ht="38.25" x14ac:dyDescent="0.25">
      <c r="A8" s="39"/>
      <c r="B8" s="58" t="s">
        <v>185</v>
      </c>
      <c r="C8" s="38"/>
      <c r="D8" s="39">
        <v>5</v>
      </c>
      <c r="E8" s="39"/>
      <c r="F8" s="39"/>
      <c r="G8" s="58" t="s">
        <v>290</v>
      </c>
    </row>
    <row r="9" spans="1:7" s="59" customFormat="1" ht="51" x14ac:dyDescent="0.25">
      <c r="A9" s="39"/>
      <c r="B9" s="58" t="s">
        <v>184</v>
      </c>
      <c r="C9" s="38"/>
      <c r="D9" s="39">
        <v>5</v>
      </c>
      <c r="E9" s="39"/>
      <c r="F9" s="39"/>
      <c r="G9" s="58" t="s">
        <v>291</v>
      </c>
    </row>
    <row r="10" spans="1:7" s="59" customFormat="1" ht="140.25" x14ac:dyDescent="0.25">
      <c r="A10" s="39" t="s">
        <v>186</v>
      </c>
      <c r="B10" s="58" t="s">
        <v>292</v>
      </c>
      <c r="C10" s="38"/>
      <c r="D10" s="39">
        <v>5</v>
      </c>
      <c r="E10" s="39"/>
      <c r="F10" s="39"/>
      <c r="G10" s="58" t="s">
        <v>323</v>
      </c>
    </row>
    <row r="11" spans="1:7" s="59" customFormat="1" ht="63.75" x14ac:dyDescent="0.25">
      <c r="A11" s="39" t="s">
        <v>187</v>
      </c>
      <c r="B11" s="58" t="s">
        <v>188</v>
      </c>
      <c r="C11" s="38"/>
      <c r="D11" s="39">
        <v>5</v>
      </c>
      <c r="E11" s="39"/>
      <c r="F11" s="39"/>
      <c r="G11" s="58" t="s">
        <v>318</v>
      </c>
    </row>
    <row r="12" spans="1:7" s="59" customFormat="1" ht="25.5" x14ac:dyDescent="0.25">
      <c r="A12" s="21" t="s">
        <v>189</v>
      </c>
      <c r="B12" s="33" t="s">
        <v>161</v>
      </c>
      <c r="C12" s="21">
        <v>15</v>
      </c>
      <c r="D12" s="15"/>
      <c r="E12" s="15"/>
      <c r="F12" s="15"/>
      <c r="G12" s="65"/>
    </row>
    <row r="13" spans="1:7" s="59" customFormat="1" ht="118.5" customHeight="1" x14ac:dyDescent="0.25">
      <c r="A13" s="39" t="s">
        <v>190</v>
      </c>
      <c r="B13" s="58" t="s">
        <v>191</v>
      </c>
      <c r="C13" s="38"/>
      <c r="D13" s="39">
        <v>5</v>
      </c>
      <c r="E13" s="39"/>
      <c r="F13" s="39"/>
      <c r="G13" s="58" t="s">
        <v>294</v>
      </c>
    </row>
    <row r="14" spans="1:7" s="59" customFormat="1" ht="127.5" x14ac:dyDescent="0.25">
      <c r="A14" s="39" t="s">
        <v>192</v>
      </c>
      <c r="B14" s="58" t="s">
        <v>193</v>
      </c>
      <c r="C14" s="38"/>
      <c r="D14" s="39">
        <v>5</v>
      </c>
      <c r="E14" s="39"/>
      <c r="F14" s="39"/>
      <c r="G14" s="40" t="s">
        <v>556</v>
      </c>
    </row>
    <row r="15" spans="1:7" s="61" customFormat="1" ht="76.5" x14ac:dyDescent="0.25">
      <c r="A15" s="42" t="s">
        <v>194</v>
      </c>
      <c r="B15" s="60" t="s">
        <v>195</v>
      </c>
      <c r="C15" s="43"/>
      <c r="D15" s="42">
        <v>5</v>
      </c>
      <c r="E15" s="42"/>
      <c r="F15" s="42"/>
      <c r="G15" s="83" t="s">
        <v>372</v>
      </c>
    </row>
    <row r="16" spans="1:7" s="59" customFormat="1" x14ac:dyDescent="0.25">
      <c r="A16" s="21" t="s">
        <v>297</v>
      </c>
      <c r="B16" s="33" t="s">
        <v>296</v>
      </c>
      <c r="C16" s="21">
        <v>20</v>
      </c>
      <c r="D16" s="15"/>
      <c r="E16" s="15"/>
      <c r="F16" s="15"/>
      <c r="G16" s="65"/>
    </row>
    <row r="17" spans="1:9" s="59" customFormat="1" ht="71.25" customHeight="1" x14ac:dyDescent="0.25">
      <c r="A17" s="142" t="s">
        <v>312</v>
      </c>
      <c r="B17" s="58" t="s">
        <v>196</v>
      </c>
      <c r="C17" s="38"/>
      <c r="D17" s="39">
        <v>5</v>
      </c>
      <c r="E17" s="39"/>
      <c r="F17" s="39"/>
      <c r="G17" s="145" t="s">
        <v>298</v>
      </c>
    </row>
    <row r="18" spans="1:9" s="59" customFormat="1" ht="71.25" customHeight="1" x14ac:dyDescent="0.25">
      <c r="A18" s="142"/>
      <c r="B18" s="58" t="s">
        <v>197</v>
      </c>
      <c r="C18" s="38"/>
      <c r="D18" s="39">
        <v>5</v>
      </c>
      <c r="E18" s="39"/>
      <c r="F18" s="39"/>
      <c r="G18" s="145"/>
      <c r="H18" s="143"/>
      <c r="I18" s="143"/>
    </row>
    <row r="19" spans="1:9" s="59" customFormat="1" ht="63.75" x14ac:dyDescent="0.25">
      <c r="A19" s="39" t="s">
        <v>313</v>
      </c>
      <c r="B19" s="58" t="s">
        <v>563</v>
      </c>
      <c r="C19" s="38"/>
      <c r="D19" s="39">
        <v>5</v>
      </c>
      <c r="E19" s="39"/>
      <c r="F19" s="39"/>
      <c r="G19" s="58" t="s">
        <v>300</v>
      </c>
    </row>
    <row r="20" spans="1:9" s="59" customFormat="1" ht="38.25" x14ac:dyDescent="0.25">
      <c r="A20" s="39" t="s">
        <v>314</v>
      </c>
      <c r="B20" s="58" t="s">
        <v>198</v>
      </c>
      <c r="C20" s="38"/>
      <c r="D20" s="39">
        <v>5</v>
      </c>
      <c r="E20" s="39"/>
      <c r="F20" s="39"/>
      <c r="G20" s="58" t="s">
        <v>299</v>
      </c>
    </row>
    <row r="21" spans="1:9" s="59" customFormat="1" ht="25.5" x14ac:dyDescent="0.25">
      <c r="A21" s="21" t="s">
        <v>311</v>
      </c>
      <c r="B21" s="33" t="s">
        <v>199</v>
      </c>
      <c r="C21" s="21">
        <v>50</v>
      </c>
      <c r="D21" s="21"/>
      <c r="E21" s="21"/>
      <c r="F21" s="21"/>
      <c r="G21" s="33"/>
      <c r="H21" s="143"/>
      <c r="I21" s="143"/>
    </row>
    <row r="22" spans="1:9" s="59" customFormat="1" ht="165.75" x14ac:dyDescent="0.25">
      <c r="A22" s="152"/>
      <c r="B22" s="58" t="s">
        <v>199</v>
      </c>
      <c r="C22" s="38"/>
      <c r="D22" s="39">
        <v>50</v>
      </c>
      <c r="E22" s="38"/>
      <c r="F22" s="38"/>
      <c r="G22" s="58" t="s">
        <v>371</v>
      </c>
    </row>
    <row r="23" spans="1:9" s="61" customFormat="1" ht="28.5" customHeight="1" x14ac:dyDescent="0.25">
      <c r="A23" s="153"/>
      <c r="B23" s="149" t="s">
        <v>551</v>
      </c>
      <c r="C23" s="150"/>
      <c r="D23" s="150"/>
      <c r="E23" s="150"/>
      <c r="F23" s="150"/>
      <c r="G23" s="151"/>
    </row>
    <row r="24" spans="1:9" s="59" customFormat="1" ht="25.5" x14ac:dyDescent="0.25">
      <c r="A24" s="21" t="s">
        <v>310</v>
      </c>
      <c r="B24" s="33" t="s">
        <v>301</v>
      </c>
      <c r="C24" s="21">
        <v>25</v>
      </c>
      <c r="D24" s="21"/>
      <c r="E24" s="33"/>
      <c r="F24" s="33"/>
      <c r="G24" s="33"/>
    </row>
    <row r="25" spans="1:9" s="59" customFormat="1" ht="204" x14ac:dyDescent="0.25">
      <c r="A25" s="38"/>
      <c r="B25" s="58" t="s">
        <v>552</v>
      </c>
      <c r="C25" s="38"/>
      <c r="D25" s="39">
        <v>25</v>
      </c>
      <c r="E25" s="56"/>
      <c r="F25" s="56"/>
      <c r="G25" s="58" t="s">
        <v>565</v>
      </c>
    </row>
    <row r="26" spans="1:9" s="59" customFormat="1" ht="25.5" x14ac:dyDescent="0.25">
      <c r="A26" s="21" t="s">
        <v>307</v>
      </c>
      <c r="B26" s="33" t="s">
        <v>200</v>
      </c>
      <c r="C26" s="21">
        <v>20</v>
      </c>
      <c r="D26" s="21" t="s">
        <v>58</v>
      </c>
      <c r="E26" s="21"/>
      <c r="F26" s="21"/>
      <c r="G26" s="66"/>
    </row>
    <row r="27" spans="1:9" s="59" customFormat="1" ht="51" x14ac:dyDescent="0.25">
      <c r="A27" s="146" t="s">
        <v>308</v>
      </c>
      <c r="B27" s="58" t="s">
        <v>201</v>
      </c>
      <c r="C27" s="38"/>
      <c r="D27" s="39" t="s">
        <v>58</v>
      </c>
      <c r="E27" s="39"/>
      <c r="F27" s="39"/>
      <c r="G27" s="58" t="s">
        <v>566</v>
      </c>
    </row>
    <row r="28" spans="1:9" s="59" customFormat="1" ht="76.5" x14ac:dyDescent="0.25">
      <c r="A28" s="147"/>
      <c r="B28" s="40" t="s">
        <v>202</v>
      </c>
      <c r="C28" s="38"/>
      <c r="D28" s="39">
        <v>5</v>
      </c>
      <c r="E28" s="39"/>
      <c r="F28" s="39"/>
      <c r="G28" s="58" t="s">
        <v>302</v>
      </c>
    </row>
    <row r="29" spans="1:9" s="59" customFormat="1" ht="38.25" x14ac:dyDescent="0.25">
      <c r="A29" s="148"/>
      <c r="B29" s="58" t="s">
        <v>203</v>
      </c>
      <c r="C29" s="38"/>
      <c r="D29" s="39">
        <v>5</v>
      </c>
      <c r="E29" s="39"/>
      <c r="F29" s="39"/>
      <c r="G29" s="58" t="s">
        <v>303</v>
      </c>
    </row>
    <row r="30" spans="1:9" s="59" customFormat="1" ht="25.5" x14ac:dyDescent="0.25">
      <c r="A30" s="146" t="s">
        <v>309</v>
      </c>
      <c r="B30" s="58" t="s">
        <v>204</v>
      </c>
      <c r="C30" s="38"/>
      <c r="D30" s="39" t="s">
        <v>58</v>
      </c>
      <c r="E30" s="39"/>
      <c r="F30" s="39"/>
      <c r="G30" s="58" t="s">
        <v>304</v>
      </c>
    </row>
    <row r="31" spans="1:9" s="59" customFormat="1" ht="76.5" x14ac:dyDescent="0.25">
      <c r="A31" s="147"/>
      <c r="B31" s="58" t="s">
        <v>553</v>
      </c>
      <c r="C31" s="38"/>
      <c r="D31" s="39">
        <v>5</v>
      </c>
      <c r="E31" s="39"/>
      <c r="F31" s="39"/>
      <c r="G31" s="58" t="s">
        <v>305</v>
      </c>
    </row>
    <row r="32" spans="1:9" s="59" customFormat="1" ht="25.5" x14ac:dyDescent="0.25">
      <c r="A32" s="148"/>
      <c r="B32" s="58" t="s">
        <v>205</v>
      </c>
      <c r="C32" s="38"/>
      <c r="D32" s="39">
        <v>5</v>
      </c>
      <c r="E32" s="39"/>
      <c r="F32" s="39"/>
      <c r="G32" s="58" t="s">
        <v>306</v>
      </c>
    </row>
    <row r="33" spans="1:7" s="59" customFormat="1" x14ac:dyDescent="0.25">
      <c r="A33" s="21"/>
      <c r="B33" s="21" t="s">
        <v>51</v>
      </c>
      <c r="C33" s="21">
        <f>SUM(C5:C31)</f>
        <v>150</v>
      </c>
      <c r="D33" s="112"/>
      <c r="E33" s="112">
        <f>SUM(E5:E32)</f>
        <v>0</v>
      </c>
      <c r="F33" s="112">
        <f>SUM(F5:F32)</f>
        <v>0</v>
      </c>
      <c r="G33" s="33"/>
    </row>
    <row r="34" spans="1:7" s="59" customFormat="1" x14ac:dyDescent="0.25">
      <c r="A34" s="63"/>
      <c r="C34" s="62"/>
      <c r="D34" s="63"/>
      <c r="E34" s="63"/>
      <c r="F34" s="63"/>
    </row>
    <row r="35" spans="1:7" s="59" customFormat="1" x14ac:dyDescent="0.25">
      <c r="A35" s="144" t="s">
        <v>319</v>
      </c>
      <c r="B35" s="144"/>
      <c r="C35" s="62"/>
      <c r="D35" s="63"/>
      <c r="E35" s="63"/>
      <c r="F35" s="63"/>
    </row>
    <row r="36" spans="1:7" s="59" customFormat="1" x14ac:dyDescent="0.25">
      <c r="A36" s="63"/>
      <c r="C36" s="62"/>
      <c r="D36" s="63"/>
      <c r="E36" s="64"/>
      <c r="F36" s="64"/>
    </row>
    <row r="37" spans="1:7" s="59" customFormat="1" x14ac:dyDescent="0.25">
      <c r="A37" s="63"/>
      <c r="C37" s="62"/>
      <c r="D37" s="63"/>
      <c r="E37" s="63"/>
      <c r="F37" s="63"/>
    </row>
    <row r="38" spans="1:7" s="59" customFormat="1" x14ac:dyDescent="0.25">
      <c r="A38" s="63"/>
      <c r="C38" s="62"/>
      <c r="D38" s="63"/>
      <c r="E38" s="63"/>
      <c r="F38" s="63"/>
    </row>
    <row r="39" spans="1:7" s="59" customFormat="1" x14ac:dyDescent="0.25">
      <c r="A39" s="63"/>
      <c r="C39" s="62"/>
      <c r="D39" s="63"/>
      <c r="E39" s="63"/>
      <c r="F39" s="63"/>
    </row>
    <row r="40" spans="1:7" s="59" customFormat="1" x14ac:dyDescent="0.25">
      <c r="A40" s="63"/>
      <c r="C40" s="62"/>
      <c r="D40" s="63"/>
      <c r="E40" s="63"/>
      <c r="F40" s="63"/>
    </row>
    <row r="41" spans="1:7" s="59" customFormat="1" x14ac:dyDescent="0.25">
      <c r="A41" s="63"/>
      <c r="C41" s="62"/>
      <c r="D41" s="63"/>
      <c r="E41" s="63"/>
      <c r="F41" s="63"/>
    </row>
    <row r="42" spans="1:7" s="59" customFormat="1" x14ac:dyDescent="0.25">
      <c r="A42" s="63"/>
      <c r="C42" s="62"/>
      <c r="D42" s="63"/>
      <c r="E42" s="63"/>
      <c r="F42" s="63"/>
    </row>
    <row r="43" spans="1:7" s="59" customFormat="1" x14ac:dyDescent="0.25">
      <c r="A43" s="63"/>
      <c r="C43" s="62"/>
      <c r="D43" s="63"/>
      <c r="E43" s="63"/>
      <c r="F43" s="63"/>
    </row>
    <row r="44" spans="1:7" s="59" customFormat="1" x14ac:dyDescent="0.25">
      <c r="A44" s="63"/>
      <c r="C44" s="62"/>
      <c r="D44" s="63"/>
      <c r="E44" s="63"/>
      <c r="F44" s="63"/>
    </row>
    <row r="45" spans="1:7" s="59" customFormat="1" x14ac:dyDescent="0.25">
      <c r="A45" s="63"/>
      <c r="C45" s="62"/>
      <c r="D45" s="63"/>
      <c r="E45" s="63"/>
      <c r="F45" s="63"/>
    </row>
    <row r="46" spans="1:7" s="59" customFormat="1" x14ac:dyDescent="0.25">
      <c r="A46" s="63"/>
      <c r="C46" s="62"/>
      <c r="D46" s="63"/>
      <c r="E46" s="63"/>
      <c r="F46" s="63"/>
    </row>
    <row r="47" spans="1:7" s="59" customFormat="1" x14ac:dyDescent="0.25">
      <c r="A47" s="63"/>
      <c r="C47" s="62"/>
      <c r="D47" s="63"/>
      <c r="E47" s="63"/>
      <c r="F47" s="63"/>
    </row>
    <row r="48" spans="1:7" s="59" customFormat="1" x14ac:dyDescent="0.25">
      <c r="A48" s="63"/>
      <c r="C48" s="62"/>
      <c r="D48" s="63"/>
      <c r="E48" s="63"/>
      <c r="F48" s="63"/>
    </row>
    <row r="49" spans="1:6" s="59" customFormat="1" x14ac:dyDescent="0.25">
      <c r="A49" s="63"/>
      <c r="C49" s="62"/>
      <c r="D49" s="63"/>
      <c r="E49" s="63"/>
      <c r="F49" s="63"/>
    </row>
    <row r="50" spans="1:6" s="59" customFormat="1" x14ac:dyDescent="0.25">
      <c r="A50" s="63"/>
      <c r="C50" s="62"/>
      <c r="D50" s="63"/>
      <c r="E50" s="63"/>
      <c r="F50" s="63"/>
    </row>
    <row r="51" spans="1:6" s="59" customFormat="1" x14ac:dyDescent="0.25">
      <c r="A51" s="63"/>
      <c r="C51" s="62"/>
      <c r="D51" s="63"/>
      <c r="E51" s="63"/>
      <c r="F51" s="63"/>
    </row>
    <row r="52" spans="1:6" s="59" customFormat="1" x14ac:dyDescent="0.25">
      <c r="A52" s="63"/>
      <c r="C52" s="62"/>
      <c r="D52" s="63"/>
      <c r="E52" s="63"/>
      <c r="F52" s="63"/>
    </row>
    <row r="53" spans="1:6" s="59" customFormat="1" x14ac:dyDescent="0.25">
      <c r="A53" s="63"/>
      <c r="C53" s="62"/>
      <c r="D53" s="63"/>
      <c r="E53" s="63"/>
      <c r="F53" s="63"/>
    </row>
    <row r="54" spans="1:6" s="59" customFormat="1" x14ac:dyDescent="0.25">
      <c r="A54" s="63"/>
      <c r="C54" s="62"/>
      <c r="D54" s="63"/>
      <c r="E54" s="63"/>
      <c r="F54" s="63"/>
    </row>
    <row r="55" spans="1:6" s="59" customFormat="1" x14ac:dyDescent="0.25">
      <c r="A55" s="63"/>
      <c r="C55" s="62"/>
      <c r="D55" s="63"/>
      <c r="E55" s="63"/>
      <c r="F55" s="63"/>
    </row>
    <row r="56" spans="1:6" s="59" customFormat="1" x14ac:dyDescent="0.25">
      <c r="A56" s="63"/>
      <c r="C56" s="62"/>
      <c r="D56" s="63"/>
      <c r="E56" s="63"/>
      <c r="F56" s="63"/>
    </row>
    <row r="57" spans="1:6" s="59" customFormat="1" x14ac:dyDescent="0.25">
      <c r="A57" s="63"/>
      <c r="C57" s="62"/>
      <c r="D57" s="63"/>
      <c r="E57" s="63"/>
      <c r="F57" s="63"/>
    </row>
    <row r="58" spans="1:6" s="59" customFormat="1" x14ac:dyDescent="0.25">
      <c r="A58" s="63"/>
      <c r="C58" s="62"/>
      <c r="D58" s="63"/>
      <c r="E58" s="63"/>
      <c r="F58" s="63"/>
    </row>
    <row r="59" spans="1:6" s="59" customFormat="1" x14ac:dyDescent="0.25">
      <c r="A59" s="63"/>
      <c r="C59" s="62"/>
      <c r="D59" s="63"/>
      <c r="E59" s="63"/>
      <c r="F59" s="63"/>
    </row>
    <row r="60" spans="1:6" s="59" customFormat="1" x14ac:dyDescent="0.25">
      <c r="A60" s="63"/>
      <c r="C60" s="62"/>
      <c r="D60" s="63"/>
      <c r="E60" s="63"/>
      <c r="F60" s="63"/>
    </row>
    <row r="61" spans="1:6" s="59" customFormat="1" x14ac:dyDescent="0.25">
      <c r="A61" s="63"/>
      <c r="C61" s="62"/>
      <c r="D61" s="63"/>
      <c r="E61" s="63"/>
      <c r="F61" s="63"/>
    </row>
    <row r="62" spans="1:6" s="59" customFormat="1" x14ac:dyDescent="0.25">
      <c r="A62" s="63"/>
      <c r="C62" s="62"/>
      <c r="D62" s="63"/>
      <c r="E62" s="63"/>
      <c r="F62" s="63"/>
    </row>
    <row r="63" spans="1:6" s="59" customFormat="1" x14ac:dyDescent="0.25">
      <c r="A63" s="63"/>
      <c r="C63" s="62"/>
      <c r="D63" s="63"/>
      <c r="E63" s="63"/>
      <c r="F63" s="63"/>
    </row>
    <row r="64" spans="1:6" s="59" customFormat="1" x14ac:dyDescent="0.25">
      <c r="A64" s="63"/>
      <c r="C64" s="62"/>
      <c r="D64" s="63"/>
      <c r="E64" s="63"/>
      <c r="F64" s="63"/>
    </row>
    <row r="65" spans="1:6" s="59" customFormat="1" x14ac:dyDescent="0.25">
      <c r="A65" s="63"/>
      <c r="C65" s="62"/>
      <c r="D65" s="63"/>
      <c r="E65" s="63"/>
      <c r="F65" s="63"/>
    </row>
    <row r="66" spans="1:6" s="59" customFormat="1" x14ac:dyDescent="0.25">
      <c r="A66" s="63"/>
      <c r="C66" s="62"/>
      <c r="D66" s="63"/>
      <c r="E66" s="63"/>
      <c r="F66" s="63"/>
    </row>
    <row r="67" spans="1:6" s="59" customFormat="1" x14ac:dyDescent="0.25">
      <c r="A67" s="63"/>
      <c r="C67" s="62"/>
      <c r="D67" s="63"/>
      <c r="E67" s="63"/>
      <c r="F67" s="63"/>
    </row>
    <row r="68" spans="1:6" s="59" customFormat="1" x14ac:dyDescent="0.25">
      <c r="A68" s="63"/>
      <c r="C68" s="62"/>
      <c r="D68" s="63"/>
      <c r="E68" s="63"/>
      <c r="F68" s="63"/>
    </row>
    <row r="69" spans="1:6" s="59" customFormat="1" x14ac:dyDescent="0.25">
      <c r="A69" s="63"/>
      <c r="C69" s="62"/>
      <c r="D69" s="63"/>
      <c r="E69" s="63"/>
      <c r="F69" s="63"/>
    </row>
    <row r="70" spans="1:6" s="59" customFormat="1" x14ac:dyDescent="0.25">
      <c r="A70" s="63"/>
      <c r="C70" s="62"/>
      <c r="D70" s="63"/>
      <c r="E70" s="63"/>
      <c r="F70" s="63"/>
    </row>
    <row r="71" spans="1:6" s="59" customFormat="1" x14ac:dyDescent="0.25">
      <c r="A71" s="63"/>
      <c r="C71" s="62"/>
      <c r="D71" s="63"/>
      <c r="E71" s="63"/>
      <c r="F71" s="63"/>
    </row>
    <row r="72" spans="1:6" s="59" customFormat="1" x14ac:dyDescent="0.25">
      <c r="A72" s="63"/>
      <c r="C72" s="62"/>
      <c r="D72" s="63"/>
      <c r="E72" s="63"/>
      <c r="F72" s="63"/>
    </row>
    <row r="73" spans="1:6" s="59" customFormat="1" x14ac:dyDescent="0.25">
      <c r="A73" s="63"/>
      <c r="C73" s="62"/>
      <c r="D73" s="63"/>
      <c r="E73" s="63"/>
      <c r="F73" s="63"/>
    </row>
    <row r="74" spans="1:6" s="59" customFormat="1" x14ac:dyDescent="0.25">
      <c r="A74" s="63"/>
      <c r="C74" s="62"/>
      <c r="D74" s="63"/>
      <c r="E74" s="63"/>
      <c r="F74" s="63"/>
    </row>
    <row r="75" spans="1:6" s="59" customFormat="1" x14ac:dyDescent="0.25">
      <c r="A75" s="63"/>
      <c r="C75" s="62"/>
      <c r="D75" s="63"/>
      <c r="E75" s="63"/>
      <c r="F75" s="63"/>
    </row>
    <row r="76" spans="1:6" s="59" customFormat="1" x14ac:dyDescent="0.25">
      <c r="A76" s="63"/>
      <c r="C76" s="62"/>
      <c r="D76" s="63"/>
      <c r="E76" s="63"/>
      <c r="F76" s="63"/>
    </row>
    <row r="77" spans="1:6" s="59" customFormat="1" x14ac:dyDescent="0.25">
      <c r="A77" s="63"/>
      <c r="C77" s="62"/>
      <c r="D77" s="63"/>
      <c r="E77" s="63"/>
      <c r="F77" s="63"/>
    </row>
    <row r="78" spans="1:6" s="59" customFormat="1" x14ac:dyDescent="0.25">
      <c r="A78" s="63"/>
      <c r="C78" s="62"/>
      <c r="D78" s="63"/>
      <c r="E78" s="63"/>
      <c r="F78" s="63"/>
    </row>
    <row r="79" spans="1:6" s="59" customFormat="1" x14ac:dyDescent="0.25">
      <c r="A79" s="63"/>
      <c r="C79" s="62"/>
      <c r="D79" s="63"/>
      <c r="E79" s="63"/>
      <c r="F79" s="63"/>
    </row>
    <row r="80" spans="1:6" s="59" customFormat="1" x14ac:dyDescent="0.25">
      <c r="A80" s="63"/>
      <c r="C80" s="62"/>
      <c r="D80" s="63"/>
      <c r="E80" s="63"/>
      <c r="F80" s="63"/>
    </row>
    <row r="81" spans="1:6" s="59" customFormat="1" x14ac:dyDescent="0.25">
      <c r="A81" s="63"/>
      <c r="C81" s="62"/>
      <c r="D81" s="63"/>
      <c r="E81" s="63"/>
      <c r="F81" s="63"/>
    </row>
    <row r="82" spans="1:6" s="59" customFormat="1" x14ac:dyDescent="0.25">
      <c r="A82" s="63"/>
      <c r="C82" s="62"/>
      <c r="D82" s="63"/>
      <c r="E82" s="63"/>
      <c r="F82" s="63"/>
    </row>
    <row r="83" spans="1:6" s="59" customFormat="1" x14ac:dyDescent="0.25">
      <c r="A83" s="63"/>
      <c r="C83" s="62"/>
      <c r="D83" s="63"/>
      <c r="E83" s="63"/>
      <c r="F83" s="63"/>
    </row>
    <row r="84" spans="1:6" s="59" customFormat="1" x14ac:dyDescent="0.25">
      <c r="A84" s="63"/>
      <c r="C84" s="62"/>
      <c r="D84" s="63"/>
      <c r="E84" s="63"/>
      <c r="F84" s="63"/>
    </row>
    <row r="85" spans="1:6" s="59" customFormat="1" x14ac:dyDescent="0.25">
      <c r="A85" s="63"/>
      <c r="C85" s="62"/>
      <c r="D85" s="63"/>
      <c r="E85" s="63"/>
      <c r="F85" s="63"/>
    </row>
    <row r="86" spans="1:6" s="59" customFormat="1" x14ac:dyDescent="0.25">
      <c r="A86" s="63"/>
      <c r="C86" s="62"/>
      <c r="D86" s="63"/>
      <c r="E86" s="63"/>
      <c r="F86" s="63"/>
    </row>
    <row r="87" spans="1:6" s="59" customFormat="1" x14ac:dyDescent="0.25">
      <c r="A87" s="63"/>
      <c r="C87" s="62"/>
      <c r="D87" s="63"/>
      <c r="E87" s="63"/>
      <c r="F87" s="63"/>
    </row>
    <row r="88" spans="1:6" s="59" customFormat="1" x14ac:dyDescent="0.25">
      <c r="A88" s="63"/>
      <c r="C88" s="62"/>
      <c r="D88" s="63"/>
      <c r="E88" s="63"/>
      <c r="F88" s="63"/>
    </row>
    <row r="89" spans="1:6" s="59" customFormat="1" x14ac:dyDescent="0.25">
      <c r="A89" s="63"/>
      <c r="C89" s="62"/>
      <c r="D89" s="63"/>
      <c r="E89" s="63"/>
      <c r="F89" s="63"/>
    </row>
    <row r="90" spans="1:6" s="59" customFormat="1" x14ac:dyDescent="0.25">
      <c r="A90" s="63"/>
      <c r="C90" s="62"/>
      <c r="D90" s="63"/>
      <c r="E90" s="63"/>
      <c r="F90" s="63"/>
    </row>
    <row r="91" spans="1:6" s="59" customFormat="1" x14ac:dyDescent="0.25">
      <c r="A91" s="63"/>
      <c r="C91" s="62"/>
      <c r="D91" s="63"/>
      <c r="E91" s="63"/>
      <c r="F91" s="63"/>
    </row>
    <row r="92" spans="1:6" s="59" customFormat="1" x14ac:dyDescent="0.25">
      <c r="A92" s="63"/>
      <c r="C92" s="62"/>
      <c r="D92" s="63"/>
      <c r="E92" s="63"/>
      <c r="F92" s="63"/>
    </row>
    <row r="93" spans="1:6" s="59" customFormat="1" x14ac:dyDescent="0.25">
      <c r="A93" s="63"/>
      <c r="C93" s="62"/>
      <c r="D93" s="63"/>
      <c r="E93" s="63"/>
      <c r="F93" s="63"/>
    </row>
    <row r="94" spans="1:6" s="59" customFormat="1" x14ac:dyDescent="0.25">
      <c r="A94" s="63"/>
      <c r="C94" s="62"/>
      <c r="D94" s="63"/>
      <c r="E94" s="63"/>
      <c r="F94" s="63"/>
    </row>
    <row r="95" spans="1:6" s="59" customFormat="1" x14ac:dyDescent="0.25">
      <c r="A95" s="63"/>
      <c r="C95" s="62"/>
      <c r="D95" s="63"/>
      <c r="E95" s="63"/>
      <c r="F95" s="63"/>
    </row>
    <row r="96" spans="1:6" s="59" customFormat="1" x14ac:dyDescent="0.25">
      <c r="A96" s="63"/>
      <c r="C96" s="62"/>
      <c r="D96" s="63"/>
      <c r="E96" s="63"/>
      <c r="F96" s="63"/>
    </row>
    <row r="97" spans="1:6" s="59" customFormat="1" x14ac:dyDescent="0.25">
      <c r="A97" s="63"/>
      <c r="C97" s="62"/>
      <c r="D97" s="63"/>
      <c r="E97" s="63"/>
      <c r="F97" s="63"/>
    </row>
    <row r="98" spans="1:6" s="59" customFormat="1" x14ac:dyDescent="0.25">
      <c r="A98" s="63"/>
      <c r="C98" s="62"/>
      <c r="D98" s="63"/>
      <c r="E98" s="63"/>
      <c r="F98" s="63"/>
    </row>
    <row r="99" spans="1:6" s="59" customFormat="1" x14ac:dyDescent="0.25">
      <c r="A99" s="63"/>
      <c r="C99" s="62"/>
      <c r="D99" s="63"/>
      <c r="E99" s="63"/>
      <c r="F99" s="63"/>
    </row>
    <row r="100" spans="1:6" s="59" customFormat="1" x14ac:dyDescent="0.25">
      <c r="A100" s="63"/>
      <c r="C100" s="62"/>
      <c r="D100" s="63"/>
      <c r="E100" s="63"/>
      <c r="F100" s="63"/>
    </row>
    <row r="101" spans="1:6" s="59" customFormat="1" x14ac:dyDescent="0.25">
      <c r="A101" s="63"/>
      <c r="C101" s="62"/>
      <c r="D101" s="63"/>
      <c r="E101" s="63"/>
      <c r="F101" s="63"/>
    </row>
    <row r="102" spans="1:6" s="59" customFormat="1" x14ac:dyDescent="0.25">
      <c r="A102" s="63"/>
      <c r="C102" s="62"/>
      <c r="D102" s="63"/>
      <c r="E102" s="63"/>
      <c r="F102" s="63"/>
    </row>
    <row r="103" spans="1:6" s="59" customFormat="1" x14ac:dyDescent="0.25">
      <c r="A103" s="63"/>
      <c r="C103" s="62"/>
      <c r="D103" s="63"/>
      <c r="E103" s="63"/>
      <c r="F103" s="63"/>
    </row>
    <row r="104" spans="1:6" s="59" customFormat="1" x14ac:dyDescent="0.25">
      <c r="A104" s="63"/>
      <c r="C104" s="62"/>
      <c r="D104" s="63"/>
      <c r="E104" s="63"/>
      <c r="F104" s="63"/>
    </row>
    <row r="105" spans="1:6" s="59" customFormat="1" x14ac:dyDescent="0.25">
      <c r="A105" s="63"/>
      <c r="C105" s="62"/>
      <c r="D105" s="63"/>
      <c r="E105" s="63"/>
      <c r="F105" s="63"/>
    </row>
    <row r="106" spans="1:6" s="59" customFormat="1" x14ac:dyDescent="0.25">
      <c r="A106" s="63"/>
      <c r="C106" s="62"/>
      <c r="D106" s="63"/>
      <c r="E106" s="63"/>
      <c r="F106" s="63"/>
    </row>
    <row r="107" spans="1:6" s="59" customFormat="1" x14ac:dyDescent="0.25">
      <c r="A107" s="63"/>
      <c r="C107" s="62"/>
      <c r="D107" s="63"/>
      <c r="E107" s="63"/>
      <c r="F107" s="63"/>
    </row>
    <row r="108" spans="1:6" s="59" customFormat="1" x14ac:dyDescent="0.25">
      <c r="A108" s="63"/>
      <c r="C108" s="62"/>
      <c r="D108" s="63"/>
      <c r="E108" s="63"/>
      <c r="F108" s="63"/>
    </row>
    <row r="109" spans="1:6" s="59" customFormat="1" x14ac:dyDescent="0.25">
      <c r="A109" s="63"/>
      <c r="C109" s="62"/>
      <c r="D109" s="63"/>
      <c r="E109" s="63"/>
      <c r="F109" s="63"/>
    </row>
    <row r="110" spans="1:6" s="59" customFormat="1" x14ac:dyDescent="0.25">
      <c r="A110" s="63"/>
      <c r="C110" s="62"/>
      <c r="D110" s="63"/>
      <c r="E110" s="63"/>
      <c r="F110" s="63"/>
    </row>
    <row r="111" spans="1:6" s="59" customFormat="1" x14ac:dyDescent="0.25">
      <c r="A111" s="63"/>
      <c r="C111" s="62"/>
      <c r="D111" s="63"/>
      <c r="E111" s="63"/>
      <c r="F111" s="63"/>
    </row>
    <row r="112" spans="1:6" s="59" customFormat="1" x14ac:dyDescent="0.25">
      <c r="A112" s="63"/>
      <c r="C112" s="62"/>
      <c r="D112" s="63"/>
      <c r="E112" s="63"/>
      <c r="F112" s="63"/>
    </row>
    <row r="113" spans="1:6" s="59" customFormat="1" x14ac:dyDescent="0.25">
      <c r="A113" s="63"/>
      <c r="C113" s="62"/>
      <c r="D113" s="63"/>
      <c r="E113" s="63"/>
      <c r="F113" s="63"/>
    </row>
    <row r="114" spans="1:6" s="59" customFormat="1" x14ac:dyDescent="0.25">
      <c r="A114" s="63"/>
      <c r="C114" s="62"/>
      <c r="D114" s="63"/>
      <c r="E114" s="63"/>
      <c r="F114" s="63"/>
    </row>
    <row r="115" spans="1:6" s="59" customFormat="1" x14ac:dyDescent="0.25">
      <c r="A115" s="63"/>
      <c r="C115" s="62"/>
      <c r="D115" s="63"/>
      <c r="E115" s="63"/>
      <c r="F115" s="63"/>
    </row>
    <row r="116" spans="1:6" s="59" customFormat="1" x14ac:dyDescent="0.25">
      <c r="A116" s="63"/>
      <c r="C116" s="62"/>
      <c r="D116" s="63"/>
      <c r="E116" s="63"/>
      <c r="F116" s="63"/>
    </row>
  </sheetData>
  <mergeCells count="11">
    <mergeCell ref="A35:B35"/>
    <mergeCell ref="G17:G18"/>
    <mergeCell ref="A27:A29"/>
    <mergeCell ref="A30:A32"/>
    <mergeCell ref="B23:G23"/>
    <mergeCell ref="A22:A23"/>
    <mergeCell ref="C2:D2"/>
    <mergeCell ref="A1:G1"/>
    <mergeCell ref="A17:A18"/>
    <mergeCell ref="H18:I18"/>
    <mergeCell ref="H21:I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
  <sheetViews>
    <sheetView topLeftCell="A23" zoomScale="90" zoomScaleNormal="90" workbookViewId="0">
      <selection activeCell="E34" sqref="E34"/>
    </sheetView>
  </sheetViews>
  <sheetFormatPr defaultRowHeight="12.75" x14ac:dyDescent="0.25"/>
  <cols>
    <col min="1" max="1" width="15.140625" style="10" customWidth="1"/>
    <col min="2" max="2" width="39.7109375" style="29" customWidth="1"/>
    <col min="3" max="4" width="8.28515625" style="10" customWidth="1"/>
    <col min="5" max="6" width="16.42578125" style="10" customWidth="1"/>
    <col min="7" max="7" width="66.140625" style="29" customWidth="1"/>
    <col min="8" max="256" width="9.140625" style="29"/>
    <col min="257" max="257" width="19.42578125" style="29" customWidth="1"/>
    <col min="258" max="258" width="53.28515625" style="29" customWidth="1"/>
    <col min="259" max="259" width="10.7109375" style="29" customWidth="1"/>
    <col min="260" max="262" width="10.85546875" style="29" customWidth="1"/>
    <col min="263" max="263" width="138.7109375" style="29" customWidth="1"/>
    <col min="264" max="512" width="9.140625" style="29"/>
    <col min="513" max="513" width="19.42578125" style="29" customWidth="1"/>
    <col min="514" max="514" width="53.28515625" style="29" customWidth="1"/>
    <col min="515" max="515" width="10.7109375" style="29" customWidth="1"/>
    <col min="516" max="518" width="10.85546875" style="29" customWidth="1"/>
    <col min="519" max="519" width="138.7109375" style="29" customWidth="1"/>
    <col min="520" max="768" width="9.140625" style="29"/>
    <col min="769" max="769" width="19.42578125" style="29" customWidth="1"/>
    <col min="770" max="770" width="53.28515625" style="29" customWidth="1"/>
    <col min="771" max="771" width="10.7109375" style="29" customWidth="1"/>
    <col min="772" max="774" width="10.85546875" style="29" customWidth="1"/>
    <col min="775" max="775" width="138.7109375" style="29" customWidth="1"/>
    <col min="776" max="1024" width="9.140625" style="29"/>
    <col min="1025" max="1025" width="19.42578125" style="29" customWidth="1"/>
    <col min="1026" max="1026" width="53.28515625" style="29" customWidth="1"/>
    <col min="1027" max="1027" width="10.7109375" style="29" customWidth="1"/>
    <col min="1028" max="1030" width="10.85546875" style="29" customWidth="1"/>
    <col min="1031" max="1031" width="138.7109375" style="29" customWidth="1"/>
    <col min="1032" max="1280" width="9.140625" style="29"/>
    <col min="1281" max="1281" width="19.42578125" style="29" customWidth="1"/>
    <col min="1282" max="1282" width="53.28515625" style="29" customWidth="1"/>
    <col min="1283" max="1283" width="10.7109375" style="29" customWidth="1"/>
    <col min="1284" max="1286" width="10.85546875" style="29" customWidth="1"/>
    <col min="1287" max="1287" width="138.7109375" style="29" customWidth="1"/>
    <col min="1288" max="1536" width="9.140625" style="29"/>
    <col min="1537" max="1537" width="19.42578125" style="29" customWidth="1"/>
    <col min="1538" max="1538" width="53.28515625" style="29" customWidth="1"/>
    <col min="1539" max="1539" width="10.7109375" style="29" customWidth="1"/>
    <col min="1540" max="1542" width="10.85546875" style="29" customWidth="1"/>
    <col min="1543" max="1543" width="138.7109375" style="29" customWidth="1"/>
    <col min="1544" max="1792" width="9.140625" style="29"/>
    <col min="1793" max="1793" width="19.42578125" style="29" customWidth="1"/>
    <col min="1794" max="1794" width="53.28515625" style="29" customWidth="1"/>
    <col min="1795" max="1795" width="10.7109375" style="29" customWidth="1"/>
    <col min="1796" max="1798" width="10.85546875" style="29" customWidth="1"/>
    <col min="1799" max="1799" width="138.7109375" style="29" customWidth="1"/>
    <col min="1800" max="2048" width="9.140625" style="29"/>
    <col min="2049" max="2049" width="19.42578125" style="29" customWidth="1"/>
    <col min="2050" max="2050" width="53.28515625" style="29" customWidth="1"/>
    <col min="2051" max="2051" width="10.7109375" style="29" customWidth="1"/>
    <col min="2052" max="2054" width="10.85546875" style="29" customWidth="1"/>
    <col min="2055" max="2055" width="138.7109375" style="29" customWidth="1"/>
    <col min="2056" max="2304" width="9.140625" style="29"/>
    <col min="2305" max="2305" width="19.42578125" style="29" customWidth="1"/>
    <col min="2306" max="2306" width="53.28515625" style="29" customWidth="1"/>
    <col min="2307" max="2307" width="10.7109375" style="29" customWidth="1"/>
    <col min="2308" max="2310" width="10.85546875" style="29" customWidth="1"/>
    <col min="2311" max="2311" width="138.7109375" style="29" customWidth="1"/>
    <col min="2312" max="2560" width="9.140625" style="29"/>
    <col min="2561" max="2561" width="19.42578125" style="29" customWidth="1"/>
    <col min="2562" max="2562" width="53.28515625" style="29" customWidth="1"/>
    <col min="2563" max="2563" width="10.7109375" style="29" customWidth="1"/>
    <col min="2564" max="2566" width="10.85546875" style="29" customWidth="1"/>
    <col min="2567" max="2567" width="138.7109375" style="29" customWidth="1"/>
    <col min="2568" max="2816" width="9.140625" style="29"/>
    <col min="2817" max="2817" width="19.42578125" style="29" customWidth="1"/>
    <col min="2818" max="2818" width="53.28515625" style="29" customWidth="1"/>
    <col min="2819" max="2819" width="10.7109375" style="29" customWidth="1"/>
    <col min="2820" max="2822" width="10.85546875" style="29" customWidth="1"/>
    <col min="2823" max="2823" width="138.7109375" style="29" customWidth="1"/>
    <col min="2824" max="3072" width="9.140625" style="29"/>
    <col min="3073" max="3073" width="19.42578125" style="29" customWidth="1"/>
    <col min="3074" max="3074" width="53.28515625" style="29" customWidth="1"/>
    <col min="3075" max="3075" width="10.7109375" style="29" customWidth="1"/>
    <col min="3076" max="3078" width="10.85546875" style="29" customWidth="1"/>
    <col min="3079" max="3079" width="138.7109375" style="29" customWidth="1"/>
    <col min="3080" max="3328" width="9.140625" style="29"/>
    <col min="3329" max="3329" width="19.42578125" style="29" customWidth="1"/>
    <col min="3330" max="3330" width="53.28515625" style="29" customWidth="1"/>
    <col min="3331" max="3331" width="10.7109375" style="29" customWidth="1"/>
    <col min="3332" max="3334" width="10.85546875" style="29" customWidth="1"/>
    <col min="3335" max="3335" width="138.7109375" style="29" customWidth="1"/>
    <col min="3336" max="3584" width="9.140625" style="29"/>
    <col min="3585" max="3585" width="19.42578125" style="29" customWidth="1"/>
    <col min="3586" max="3586" width="53.28515625" style="29" customWidth="1"/>
    <col min="3587" max="3587" width="10.7109375" style="29" customWidth="1"/>
    <col min="3588" max="3590" width="10.85546875" style="29" customWidth="1"/>
    <col min="3591" max="3591" width="138.7109375" style="29" customWidth="1"/>
    <col min="3592" max="3840" width="9.140625" style="29"/>
    <col min="3841" max="3841" width="19.42578125" style="29" customWidth="1"/>
    <col min="3842" max="3842" width="53.28515625" style="29" customWidth="1"/>
    <col min="3843" max="3843" width="10.7109375" style="29" customWidth="1"/>
    <col min="3844" max="3846" width="10.85546875" style="29" customWidth="1"/>
    <col min="3847" max="3847" width="138.7109375" style="29" customWidth="1"/>
    <col min="3848" max="4096" width="9.140625" style="29"/>
    <col min="4097" max="4097" width="19.42578125" style="29" customWidth="1"/>
    <col min="4098" max="4098" width="53.28515625" style="29" customWidth="1"/>
    <col min="4099" max="4099" width="10.7109375" style="29" customWidth="1"/>
    <col min="4100" max="4102" width="10.85546875" style="29" customWidth="1"/>
    <col min="4103" max="4103" width="138.7109375" style="29" customWidth="1"/>
    <col min="4104" max="4352" width="9.140625" style="29"/>
    <col min="4353" max="4353" width="19.42578125" style="29" customWidth="1"/>
    <col min="4354" max="4354" width="53.28515625" style="29" customWidth="1"/>
    <col min="4355" max="4355" width="10.7109375" style="29" customWidth="1"/>
    <col min="4356" max="4358" width="10.85546875" style="29" customWidth="1"/>
    <col min="4359" max="4359" width="138.7109375" style="29" customWidth="1"/>
    <col min="4360" max="4608" width="9.140625" style="29"/>
    <col min="4609" max="4609" width="19.42578125" style="29" customWidth="1"/>
    <col min="4610" max="4610" width="53.28515625" style="29" customWidth="1"/>
    <col min="4611" max="4611" width="10.7109375" style="29" customWidth="1"/>
    <col min="4612" max="4614" width="10.85546875" style="29" customWidth="1"/>
    <col min="4615" max="4615" width="138.7109375" style="29" customWidth="1"/>
    <col min="4616" max="4864" width="9.140625" style="29"/>
    <col min="4865" max="4865" width="19.42578125" style="29" customWidth="1"/>
    <col min="4866" max="4866" width="53.28515625" style="29" customWidth="1"/>
    <col min="4867" max="4867" width="10.7109375" style="29" customWidth="1"/>
    <col min="4868" max="4870" width="10.85546875" style="29" customWidth="1"/>
    <col min="4871" max="4871" width="138.7109375" style="29" customWidth="1"/>
    <col min="4872" max="5120" width="9.140625" style="29"/>
    <col min="5121" max="5121" width="19.42578125" style="29" customWidth="1"/>
    <col min="5122" max="5122" width="53.28515625" style="29" customWidth="1"/>
    <col min="5123" max="5123" width="10.7109375" style="29" customWidth="1"/>
    <col min="5124" max="5126" width="10.85546875" style="29" customWidth="1"/>
    <col min="5127" max="5127" width="138.7109375" style="29" customWidth="1"/>
    <col min="5128" max="5376" width="9.140625" style="29"/>
    <col min="5377" max="5377" width="19.42578125" style="29" customWidth="1"/>
    <col min="5378" max="5378" width="53.28515625" style="29" customWidth="1"/>
    <col min="5379" max="5379" width="10.7109375" style="29" customWidth="1"/>
    <col min="5380" max="5382" width="10.85546875" style="29" customWidth="1"/>
    <col min="5383" max="5383" width="138.7109375" style="29" customWidth="1"/>
    <col min="5384" max="5632" width="9.140625" style="29"/>
    <col min="5633" max="5633" width="19.42578125" style="29" customWidth="1"/>
    <col min="5634" max="5634" width="53.28515625" style="29" customWidth="1"/>
    <col min="5635" max="5635" width="10.7109375" style="29" customWidth="1"/>
    <col min="5636" max="5638" width="10.85546875" style="29" customWidth="1"/>
    <col min="5639" max="5639" width="138.7109375" style="29" customWidth="1"/>
    <col min="5640" max="5888" width="9.140625" style="29"/>
    <col min="5889" max="5889" width="19.42578125" style="29" customWidth="1"/>
    <col min="5890" max="5890" width="53.28515625" style="29" customWidth="1"/>
    <col min="5891" max="5891" width="10.7109375" style="29" customWidth="1"/>
    <col min="5892" max="5894" width="10.85546875" style="29" customWidth="1"/>
    <col min="5895" max="5895" width="138.7109375" style="29" customWidth="1"/>
    <col min="5896" max="6144" width="9.140625" style="29"/>
    <col min="6145" max="6145" width="19.42578125" style="29" customWidth="1"/>
    <col min="6146" max="6146" width="53.28515625" style="29" customWidth="1"/>
    <col min="6147" max="6147" width="10.7109375" style="29" customWidth="1"/>
    <col min="6148" max="6150" width="10.85546875" style="29" customWidth="1"/>
    <col min="6151" max="6151" width="138.7109375" style="29" customWidth="1"/>
    <col min="6152" max="6400" width="9.140625" style="29"/>
    <col min="6401" max="6401" width="19.42578125" style="29" customWidth="1"/>
    <col min="6402" max="6402" width="53.28515625" style="29" customWidth="1"/>
    <col min="6403" max="6403" width="10.7109375" style="29" customWidth="1"/>
    <col min="6404" max="6406" width="10.85546875" style="29" customWidth="1"/>
    <col min="6407" max="6407" width="138.7109375" style="29" customWidth="1"/>
    <col min="6408" max="6656" width="9.140625" style="29"/>
    <col min="6657" max="6657" width="19.42578125" style="29" customWidth="1"/>
    <col min="6658" max="6658" width="53.28515625" style="29" customWidth="1"/>
    <col min="6659" max="6659" width="10.7109375" style="29" customWidth="1"/>
    <col min="6660" max="6662" width="10.85546875" style="29" customWidth="1"/>
    <col min="6663" max="6663" width="138.7109375" style="29" customWidth="1"/>
    <col min="6664" max="6912" width="9.140625" style="29"/>
    <col min="6913" max="6913" width="19.42578125" style="29" customWidth="1"/>
    <col min="6914" max="6914" width="53.28515625" style="29" customWidth="1"/>
    <col min="6915" max="6915" width="10.7109375" style="29" customWidth="1"/>
    <col min="6916" max="6918" width="10.85546875" style="29" customWidth="1"/>
    <col min="6919" max="6919" width="138.7109375" style="29" customWidth="1"/>
    <col min="6920" max="7168" width="9.140625" style="29"/>
    <col min="7169" max="7169" width="19.42578125" style="29" customWidth="1"/>
    <col min="7170" max="7170" width="53.28515625" style="29" customWidth="1"/>
    <col min="7171" max="7171" width="10.7109375" style="29" customWidth="1"/>
    <col min="7172" max="7174" width="10.85546875" style="29" customWidth="1"/>
    <col min="7175" max="7175" width="138.7109375" style="29" customWidth="1"/>
    <col min="7176" max="7424" width="9.140625" style="29"/>
    <col min="7425" max="7425" width="19.42578125" style="29" customWidth="1"/>
    <col min="7426" max="7426" width="53.28515625" style="29" customWidth="1"/>
    <col min="7427" max="7427" width="10.7109375" style="29" customWidth="1"/>
    <col min="7428" max="7430" width="10.85546875" style="29" customWidth="1"/>
    <col min="7431" max="7431" width="138.7109375" style="29" customWidth="1"/>
    <col min="7432" max="7680" width="9.140625" style="29"/>
    <col min="7681" max="7681" width="19.42578125" style="29" customWidth="1"/>
    <col min="7682" max="7682" width="53.28515625" style="29" customWidth="1"/>
    <col min="7683" max="7683" width="10.7109375" style="29" customWidth="1"/>
    <col min="7684" max="7686" width="10.85546875" style="29" customWidth="1"/>
    <col min="7687" max="7687" width="138.7109375" style="29" customWidth="1"/>
    <col min="7688" max="7936" width="9.140625" style="29"/>
    <col min="7937" max="7937" width="19.42578125" style="29" customWidth="1"/>
    <col min="7938" max="7938" width="53.28515625" style="29" customWidth="1"/>
    <col min="7939" max="7939" width="10.7109375" style="29" customWidth="1"/>
    <col min="7940" max="7942" width="10.85546875" style="29" customWidth="1"/>
    <col min="7943" max="7943" width="138.7109375" style="29" customWidth="1"/>
    <col min="7944" max="8192" width="9.140625" style="29"/>
    <col min="8193" max="8193" width="19.42578125" style="29" customWidth="1"/>
    <col min="8194" max="8194" width="53.28515625" style="29" customWidth="1"/>
    <col min="8195" max="8195" width="10.7109375" style="29" customWidth="1"/>
    <col min="8196" max="8198" width="10.85546875" style="29" customWidth="1"/>
    <col min="8199" max="8199" width="138.7109375" style="29" customWidth="1"/>
    <col min="8200" max="8448" width="9.140625" style="29"/>
    <col min="8449" max="8449" width="19.42578125" style="29" customWidth="1"/>
    <col min="8450" max="8450" width="53.28515625" style="29" customWidth="1"/>
    <col min="8451" max="8451" width="10.7109375" style="29" customWidth="1"/>
    <col min="8452" max="8454" width="10.85546875" style="29" customWidth="1"/>
    <col min="8455" max="8455" width="138.7109375" style="29" customWidth="1"/>
    <col min="8456" max="8704" width="9.140625" style="29"/>
    <col min="8705" max="8705" width="19.42578125" style="29" customWidth="1"/>
    <col min="8706" max="8706" width="53.28515625" style="29" customWidth="1"/>
    <col min="8707" max="8707" width="10.7109375" style="29" customWidth="1"/>
    <col min="8708" max="8710" width="10.85546875" style="29" customWidth="1"/>
    <col min="8711" max="8711" width="138.7109375" style="29" customWidth="1"/>
    <col min="8712" max="8960" width="9.140625" style="29"/>
    <col min="8961" max="8961" width="19.42578125" style="29" customWidth="1"/>
    <col min="8962" max="8962" width="53.28515625" style="29" customWidth="1"/>
    <col min="8963" max="8963" width="10.7109375" style="29" customWidth="1"/>
    <col min="8964" max="8966" width="10.85546875" style="29" customWidth="1"/>
    <col min="8967" max="8967" width="138.7109375" style="29" customWidth="1"/>
    <col min="8968" max="9216" width="9.140625" style="29"/>
    <col min="9217" max="9217" width="19.42578125" style="29" customWidth="1"/>
    <col min="9218" max="9218" width="53.28515625" style="29" customWidth="1"/>
    <col min="9219" max="9219" width="10.7109375" style="29" customWidth="1"/>
    <col min="9220" max="9222" width="10.85546875" style="29" customWidth="1"/>
    <col min="9223" max="9223" width="138.7109375" style="29" customWidth="1"/>
    <col min="9224" max="9472" width="9.140625" style="29"/>
    <col min="9473" max="9473" width="19.42578125" style="29" customWidth="1"/>
    <col min="9474" max="9474" width="53.28515625" style="29" customWidth="1"/>
    <col min="9475" max="9475" width="10.7109375" style="29" customWidth="1"/>
    <col min="9476" max="9478" width="10.85546875" style="29" customWidth="1"/>
    <col min="9479" max="9479" width="138.7109375" style="29" customWidth="1"/>
    <col min="9480" max="9728" width="9.140625" style="29"/>
    <col min="9729" max="9729" width="19.42578125" style="29" customWidth="1"/>
    <col min="9730" max="9730" width="53.28515625" style="29" customWidth="1"/>
    <col min="9731" max="9731" width="10.7109375" style="29" customWidth="1"/>
    <col min="9732" max="9734" width="10.85546875" style="29" customWidth="1"/>
    <col min="9735" max="9735" width="138.7109375" style="29" customWidth="1"/>
    <col min="9736" max="9984" width="9.140625" style="29"/>
    <col min="9985" max="9985" width="19.42578125" style="29" customWidth="1"/>
    <col min="9986" max="9986" width="53.28515625" style="29" customWidth="1"/>
    <col min="9987" max="9987" width="10.7109375" style="29" customWidth="1"/>
    <col min="9988" max="9990" width="10.85546875" style="29" customWidth="1"/>
    <col min="9991" max="9991" width="138.7109375" style="29" customWidth="1"/>
    <col min="9992" max="10240" width="9.140625" style="29"/>
    <col min="10241" max="10241" width="19.42578125" style="29" customWidth="1"/>
    <col min="10242" max="10242" width="53.28515625" style="29" customWidth="1"/>
    <col min="10243" max="10243" width="10.7109375" style="29" customWidth="1"/>
    <col min="10244" max="10246" width="10.85546875" style="29" customWidth="1"/>
    <col min="10247" max="10247" width="138.7109375" style="29" customWidth="1"/>
    <col min="10248" max="10496" width="9.140625" style="29"/>
    <col min="10497" max="10497" width="19.42578125" style="29" customWidth="1"/>
    <col min="10498" max="10498" width="53.28515625" style="29" customWidth="1"/>
    <col min="10499" max="10499" width="10.7109375" style="29" customWidth="1"/>
    <col min="10500" max="10502" width="10.85546875" style="29" customWidth="1"/>
    <col min="10503" max="10503" width="138.7109375" style="29" customWidth="1"/>
    <col min="10504" max="10752" width="9.140625" style="29"/>
    <col min="10753" max="10753" width="19.42578125" style="29" customWidth="1"/>
    <col min="10754" max="10754" width="53.28515625" style="29" customWidth="1"/>
    <col min="10755" max="10755" width="10.7109375" style="29" customWidth="1"/>
    <col min="10756" max="10758" width="10.85546875" style="29" customWidth="1"/>
    <col min="10759" max="10759" width="138.7109375" style="29" customWidth="1"/>
    <col min="10760" max="11008" width="9.140625" style="29"/>
    <col min="11009" max="11009" width="19.42578125" style="29" customWidth="1"/>
    <col min="11010" max="11010" width="53.28515625" style="29" customWidth="1"/>
    <col min="11011" max="11011" width="10.7109375" style="29" customWidth="1"/>
    <col min="11012" max="11014" width="10.85546875" style="29" customWidth="1"/>
    <col min="11015" max="11015" width="138.7109375" style="29" customWidth="1"/>
    <col min="11016" max="11264" width="9.140625" style="29"/>
    <col min="11265" max="11265" width="19.42578125" style="29" customWidth="1"/>
    <col min="11266" max="11266" width="53.28515625" style="29" customWidth="1"/>
    <col min="11267" max="11267" width="10.7109375" style="29" customWidth="1"/>
    <col min="11268" max="11270" width="10.85546875" style="29" customWidth="1"/>
    <col min="11271" max="11271" width="138.7109375" style="29" customWidth="1"/>
    <col min="11272" max="11520" width="9.140625" style="29"/>
    <col min="11521" max="11521" width="19.42578125" style="29" customWidth="1"/>
    <col min="11522" max="11522" width="53.28515625" style="29" customWidth="1"/>
    <col min="11523" max="11523" width="10.7109375" style="29" customWidth="1"/>
    <col min="11524" max="11526" width="10.85546875" style="29" customWidth="1"/>
    <col min="11527" max="11527" width="138.7109375" style="29" customWidth="1"/>
    <col min="11528" max="11776" width="9.140625" style="29"/>
    <col min="11777" max="11777" width="19.42578125" style="29" customWidth="1"/>
    <col min="11778" max="11778" width="53.28515625" style="29" customWidth="1"/>
    <col min="11779" max="11779" width="10.7109375" style="29" customWidth="1"/>
    <col min="11780" max="11782" width="10.85546875" style="29" customWidth="1"/>
    <col min="11783" max="11783" width="138.7109375" style="29" customWidth="1"/>
    <col min="11784" max="12032" width="9.140625" style="29"/>
    <col min="12033" max="12033" width="19.42578125" style="29" customWidth="1"/>
    <col min="12034" max="12034" width="53.28515625" style="29" customWidth="1"/>
    <col min="12035" max="12035" width="10.7109375" style="29" customWidth="1"/>
    <col min="12036" max="12038" width="10.85546875" style="29" customWidth="1"/>
    <col min="12039" max="12039" width="138.7109375" style="29" customWidth="1"/>
    <col min="12040" max="12288" width="9.140625" style="29"/>
    <col min="12289" max="12289" width="19.42578125" style="29" customWidth="1"/>
    <col min="12290" max="12290" width="53.28515625" style="29" customWidth="1"/>
    <col min="12291" max="12291" width="10.7109375" style="29" customWidth="1"/>
    <col min="12292" max="12294" width="10.85546875" style="29" customWidth="1"/>
    <col min="12295" max="12295" width="138.7109375" style="29" customWidth="1"/>
    <col min="12296" max="12544" width="9.140625" style="29"/>
    <col min="12545" max="12545" width="19.42578125" style="29" customWidth="1"/>
    <col min="12546" max="12546" width="53.28515625" style="29" customWidth="1"/>
    <col min="12547" max="12547" width="10.7109375" style="29" customWidth="1"/>
    <col min="12548" max="12550" width="10.85546875" style="29" customWidth="1"/>
    <col min="12551" max="12551" width="138.7109375" style="29" customWidth="1"/>
    <col min="12552" max="12800" width="9.140625" style="29"/>
    <col min="12801" max="12801" width="19.42578125" style="29" customWidth="1"/>
    <col min="12802" max="12802" width="53.28515625" style="29" customWidth="1"/>
    <col min="12803" max="12803" width="10.7109375" style="29" customWidth="1"/>
    <col min="12804" max="12806" width="10.85546875" style="29" customWidth="1"/>
    <col min="12807" max="12807" width="138.7109375" style="29" customWidth="1"/>
    <col min="12808" max="13056" width="9.140625" style="29"/>
    <col min="13057" max="13057" width="19.42578125" style="29" customWidth="1"/>
    <col min="13058" max="13058" width="53.28515625" style="29" customWidth="1"/>
    <col min="13059" max="13059" width="10.7109375" style="29" customWidth="1"/>
    <col min="13060" max="13062" width="10.85546875" style="29" customWidth="1"/>
    <col min="13063" max="13063" width="138.7109375" style="29" customWidth="1"/>
    <col min="13064" max="13312" width="9.140625" style="29"/>
    <col min="13313" max="13313" width="19.42578125" style="29" customWidth="1"/>
    <col min="13314" max="13314" width="53.28515625" style="29" customWidth="1"/>
    <col min="13315" max="13315" width="10.7109375" style="29" customWidth="1"/>
    <col min="13316" max="13318" width="10.85546875" style="29" customWidth="1"/>
    <col min="13319" max="13319" width="138.7109375" style="29" customWidth="1"/>
    <col min="13320" max="13568" width="9.140625" style="29"/>
    <col min="13569" max="13569" width="19.42578125" style="29" customWidth="1"/>
    <col min="13570" max="13570" width="53.28515625" style="29" customWidth="1"/>
    <col min="13571" max="13571" width="10.7109375" style="29" customWidth="1"/>
    <col min="13572" max="13574" width="10.85546875" style="29" customWidth="1"/>
    <col min="13575" max="13575" width="138.7109375" style="29" customWidth="1"/>
    <col min="13576" max="13824" width="9.140625" style="29"/>
    <col min="13825" max="13825" width="19.42578125" style="29" customWidth="1"/>
    <col min="13826" max="13826" width="53.28515625" style="29" customWidth="1"/>
    <col min="13827" max="13827" width="10.7109375" style="29" customWidth="1"/>
    <col min="13828" max="13830" width="10.85546875" style="29" customWidth="1"/>
    <col min="13831" max="13831" width="138.7109375" style="29" customWidth="1"/>
    <col min="13832" max="14080" width="9.140625" style="29"/>
    <col min="14081" max="14081" width="19.42578125" style="29" customWidth="1"/>
    <col min="14082" max="14082" width="53.28515625" style="29" customWidth="1"/>
    <col min="14083" max="14083" width="10.7109375" style="29" customWidth="1"/>
    <col min="14084" max="14086" width="10.85546875" style="29" customWidth="1"/>
    <col min="14087" max="14087" width="138.7109375" style="29" customWidth="1"/>
    <col min="14088" max="14336" width="9.140625" style="29"/>
    <col min="14337" max="14337" width="19.42578125" style="29" customWidth="1"/>
    <col min="14338" max="14338" width="53.28515625" style="29" customWidth="1"/>
    <col min="14339" max="14339" width="10.7109375" style="29" customWidth="1"/>
    <col min="14340" max="14342" width="10.85546875" style="29" customWidth="1"/>
    <col min="14343" max="14343" width="138.7109375" style="29" customWidth="1"/>
    <col min="14344" max="14592" width="9.140625" style="29"/>
    <col min="14593" max="14593" width="19.42578125" style="29" customWidth="1"/>
    <col min="14594" max="14594" width="53.28515625" style="29" customWidth="1"/>
    <col min="14595" max="14595" width="10.7109375" style="29" customWidth="1"/>
    <col min="14596" max="14598" width="10.85546875" style="29" customWidth="1"/>
    <col min="14599" max="14599" width="138.7109375" style="29" customWidth="1"/>
    <col min="14600" max="14848" width="9.140625" style="29"/>
    <col min="14849" max="14849" width="19.42578125" style="29" customWidth="1"/>
    <col min="14850" max="14850" width="53.28515625" style="29" customWidth="1"/>
    <col min="14851" max="14851" width="10.7109375" style="29" customWidth="1"/>
    <col min="14852" max="14854" width="10.85546875" style="29" customWidth="1"/>
    <col min="14855" max="14855" width="138.7109375" style="29" customWidth="1"/>
    <col min="14856" max="15104" width="9.140625" style="29"/>
    <col min="15105" max="15105" width="19.42578125" style="29" customWidth="1"/>
    <col min="15106" max="15106" width="53.28515625" style="29" customWidth="1"/>
    <col min="15107" max="15107" width="10.7109375" style="29" customWidth="1"/>
    <col min="15108" max="15110" width="10.85546875" style="29" customWidth="1"/>
    <col min="15111" max="15111" width="138.7109375" style="29" customWidth="1"/>
    <col min="15112" max="15360" width="9.140625" style="29"/>
    <col min="15361" max="15361" width="19.42578125" style="29" customWidth="1"/>
    <col min="15362" max="15362" width="53.28515625" style="29" customWidth="1"/>
    <col min="15363" max="15363" width="10.7109375" style="29" customWidth="1"/>
    <col min="15364" max="15366" width="10.85546875" style="29" customWidth="1"/>
    <col min="15367" max="15367" width="138.7109375" style="29" customWidth="1"/>
    <col min="15368" max="15616" width="9.140625" style="29"/>
    <col min="15617" max="15617" width="19.42578125" style="29" customWidth="1"/>
    <col min="15618" max="15618" width="53.28515625" style="29" customWidth="1"/>
    <col min="15619" max="15619" width="10.7109375" style="29" customWidth="1"/>
    <col min="15620" max="15622" width="10.85546875" style="29" customWidth="1"/>
    <col min="15623" max="15623" width="138.7109375" style="29" customWidth="1"/>
    <col min="15624" max="15872" width="9.140625" style="29"/>
    <col min="15873" max="15873" width="19.42578125" style="29" customWidth="1"/>
    <col min="15874" max="15874" width="53.28515625" style="29" customWidth="1"/>
    <col min="15875" max="15875" width="10.7109375" style="29" customWidth="1"/>
    <col min="15876" max="15878" width="10.85546875" style="29" customWidth="1"/>
    <col min="15879" max="15879" width="138.7109375" style="29" customWidth="1"/>
    <col min="15880" max="16128" width="9.140625" style="29"/>
    <col min="16129" max="16129" width="19.42578125" style="29" customWidth="1"/>
    <col min="16130" max="16130" width="53.28515625" style="29" customWidth="1"/>
    <col min="16131" max="16131" width="10.7109375" style="29" customWidth="1"/>
    <col min="16132" max="16134" width="10.85546875" style="29" customWidth="1"/>
    <col min="16135" max="16135" width="138.7109375" style="29" customWidth="1"/>
    <col min="16136" max="16384" width="9.140625" style="29"/>
  </cols>
  <sheetData>
    <row r="1" spans="1:10" x14ac:dyDescent="0.25">
      <c r="A1" s="141" t="s">
        <v>366</v>
      </c>
      <c r="B1" s="141"/>
      <c r="C1" s="141"/>
      <c r="D1" s="141"/>
      <c r="E1" s="141"/>
      <c r="F1" s="141"/>
      <c r="G1" s="141"/>
    </row>
    <row r="2" spans="1:10" ht="32.25" customHeight="1" x14ac:dyDescent="0.25">
      <c r="A2" s="43" t="s">
        <v>0</v>
      </c>
      <c r="B2" s="43" t="s">
        <v>1</v>
      </c>
      <c r="C2" s="141" t="s">
        <v>2</v>
      </c>
      <c r="D2" s="141"/>
      <c r="E2" s="43" t="s">
        <v>3</v>
      </c>
      <c r="F2" s="43" t="s">
        <v>4</v>
      </c>
      <c r="G2" s="43" t="s">
        <v>5</v>
      </c>
    </row>
    <row r="3" spans="1:10" ht="89.25" x14ac:dyDescent="0.25">
      <c r="A3" s="22" t="s">
        <v>367</v>
      </c>
      <c r="B3" s="33" t="s">
        <v>206</v>
      </c>
      <c r="C3" s="22"/>
      <c r="D3" s="15"/>
      <c r="E3" s="15"/>
      <c r="F3" s="15"/>
      <c r="G3" s="65" t="s">
        <v>369</v>
      </c>
    </row>
    <row r="4" spans="1:10" ht="63.75" x14ac:dyDescent="0.25">
      <c r="A4" s="22" t="s">
        <v>368</v>
      </c>
      <c r="B4" s="33" t="s">
        <v>207</v>
      </c>
      <c r="C4" s="22" t="s">
        <v>58</v>
      </c>
      <c r="D4" s="15"/>
      <c r="E4" s="15"/>
      <c r="F4" s="15"/>
      <c r="G4" s="65" t="s">
        <v>370</v>
      </c>
      <c r="H4" s="78"/>
      <c r="I4" s="78"/>
      <c r="J4" s="78"/>
    </row>
    <row r="5" spans="1:10" x14ac:dyDescent="0.25">
      <c r="A5" s="22" t="s">
        <v>208</v>
      </c>
      <c r="B5" s="33" t="s">
        <v>12</v>
      </c>
      <c r="C5" s="22">
        <v>10</v>
      </c>
      <c r="D5" s="15"/>
      <c r="E5" s="15"/>
      <c r="F5" s="15"/>
      <c r="G5" s="33"/>
      <c r="H5" s="78"/>
      <c r="I5" s="78"/>
      <c r="J5" s="78"/>
    </row>
    <row r="6" spans="1:10" ht="89.25" x14ac:dyDescent="0.25">
      <c r="A6" s="42" t="s">
        <v>209</v>
      </c>
      <c r="B6" s="24" t="s">
        <v>210</v>
      </c>
      <c r="C6" s="23"/>
      <c r="D6" s="23">
        <v>5</v>
      </c>
      <c r="E6" s="23"/>
      <c r="F6" s="23"/>
      <c r="G6" s="24" t="s">
        <v>373</v>
      </c>
    </row>
    <row r="7" spans="1:10" ht="63.75" x14ac:dyDescent="0.25">
      <c r="A7" s="42" t="s">
        <v>211</v>
      </c>
      <c r="B7" s="60" t="s">
        <v>374</v>
      </c>
      <c r="C7" s="23"/>
      <c r="D7" s="42">
        <v>5</v>
      </c>
      <c r="E7" s="42"/>
      <c r="F7" s="42"/>
      <c r="G7" s="60" t="s">
        <v>375</v>
      </c>
      <c r="H7" s="78"/>
      <c r="I7" s="78"/>
      <c r="J7" s="78"/>
    </row>
    <row r="8" spans="1:10" ht="25.5" x14ac:dyDescent="0.25">
      <c r="A8" s="22" t="s">
        <v>212</v>
      </c>
      <c r="B8" s="33" t="s">
        <v>161</v>
      </c>
      <c r="C8" s="22">
        <v>10</v>
      </c>
      <c r="D8" s="15"/>
      <c r="E8" s="15"/>
      <c r="F8" s="15"/>
      <c r="G8" s="65"/>
    </row>
    <row r="9" spans="1:10" ht="127.5" x14ac:dyDescent="0.25">
      <c r="A9" s="23" t="s">
        <v>213</v>
      </c>
      <c r="B9" s="60" t="s">
        <v>214</v>
      </c>
      <c r="C9" s="23"/>
      <c r="D9" s="23">
        <v>5</v>
      </c>
      <c r="E9" s="23"/>
      <c r="F9" s="23"/>
      <c r="G9" s="60" t="s">
        <v>554</v>
      </c>
    </row>
    <row r="10" spans="1:10" ht="108.75" customHeight="1" x14ac:dyDescent="0.25">
      <c r="A10" s="23" t="s">
        <v>215</v>
      </c>
      <c r="B10" s="60" t="s">
        <v>216</v>
      </c>
      <c r="C10" s="23"/>
      <c r="D10" s="23">
        <v>5</v>
      </c>
      <c r="E10" s="23"/>
      <c r="F10" s="23"/>
      <c r="G10" s="40" t="s">
        <v>555</v>
      </c>
    </row>
    <row r="11" spans="1:10" x14ac:dyDescent="0.25">
      <c r="A11" s="22" t="s">
        <v>217</v>
      </c>
      <c r="B11" s="33" t="s">
        <v>218</v>
      </c>
      <c r="C11" s="22">
        <v>10</v>
      </c>
      <c r="D11" s="15"/>
      <c r="E11" s="15"/>
      <c r="F11" s="15"/>
      <c r="G11" s="65"/>
    </row>
    <row r="12" spans="1:10" ht="179.25" customHeight="1" x14ac:dyDescent="0.25">
      <c r="A12" s="43"/>
      <c r="B12" s="60" t="s">
        <v>376</v>
      </c>
      <c r="C12" s="43"/>
      <c r="D12" s="42">
        <v>10</v>
      </c>
      <c r="E12" s="42"/>
      <c r="F12" s="42"/>
      <c r="G12" s="60" t="s">
        <v>377</v>
      </c>
    </row>
    <row r="13" spans="1:10" ht="25.5" x14ac:dyDescent="0.25">
      <c r="A13" s="22" t="s">
        <v>219</v>
      </c>
      <c r="B13" s="33" t="s">
        <v>405</v>
      </c>
      <c r="C13" s="22">
        <v>30</v>
      </c>
      <c r="D13" s="15"/>
      <c r="E13" s="15"/>
      <c r="F13" s="15"/>
      <c r="G13" s="65" t="s">
        <v>58</v>
      </c>
    </row>
    <row r="14" spans="1:10" s="79" customFormat="1" ht="25.5" x14ac:dyDescent="0.25">
      <c r="A14" s="146" t="s">
        <v>220</v>
      </c>
      <c r="B14" s="72" t="s">
        <v>378</v>
      </c>
      <c r="C14" s="51"/>
      <c r="D14" s="51">
        <v>25</v>
      </c>
      <c r="E14" s="73"/>
      <c r="F14" s="73"/>
      <c r="G14" s="74"/>
    </row>
    <row r="15" spans="1:10" ht="24" customHeight="1" x14ac:dyDescent="0.25">
      <c r="A15" s="147"/>
      <c r="B15" s="84" t="s">
        <v>221</v>
      </c>
      <c r="C15" s="23"/>
      <c r="D15" s="42">
        <v>5</v>
      </c>
      <c r="E15" s="42"/>
      <c r="F15" s="42"/>
      <c r="G15" s="154" t="s">
        <v>380</v>
      </c>
    </row>
    <row r="16" spans="1:10" ht="24" customHeight="1" x14ac:dyDescent="0.25">
      <c r="A16" s="147"/>
      <c r="B16" s="85" t="s">
        <v>379</v>
      </c>
      <c r="C16" s="23"/>
      <c r="D16" s="23">
        <v>10</v>
      </c>
      <c r="E16" s="23"/>
      <c r="F16" s="23"/>
      <c r="G16" s="155"/>
    </row>
    <row r="17" spans="1:7" ht="24" customHeight="1" x14ac:dyDescent="0.25">
      <c r="A17" s="147"/>
      <c r="B17" s="85" t="s">
        <v>222</v>
      </c>
      <c r="C17" s="23"/>
      <c r="D17" s="23">
        <v>15</v>
      </c>
      <c r="E17" s="23"/>
      <c r="F17" s="23"/>
      <c r="G17" s="155"/>
    </row>
    <row r="18" spans="1:7" ht="24" customHeight="1" x14ac:dyDescent="0.25">
      <c r="A18" s="147"/>
      <c r="B18" s="85" t="s">
        <v>223</v>
      </c>
      <c r="C18" s="23"/>
      <c r="D18" s="23">
        <v>20</v>
      </c>
      <c r="E18" s="23"/>
      <c r="F18" s="23"/>
      <c r="G18" s="155"/>
    </row>
    <row r="19" spans="1:7" ht="24" customHeight="1" x14ac:dyDescent="0.25">
      <c r="A19" s="147"/>
      <c r="B19" s="85" t="s">
        <v>224</v>
      </c>
      <c r="C19" s="23"/>
      <c r="D19" s="23">
        <v>25</v>
      </c>
      <c r="E19" s="23"/>
      <c r="F19" s="23"/>
      <c r="G19" s="156"/>
    </row>
    <row r="20" spans="1:7" ht="29.25" customHeight="1" x14ac:dyDescent="0.25">
      <c r="A20" s="147"/>
      <c r="B20" s="149" t="s">
        <v>557</v>
      </c>
      <c r="C20" s="157"/>
      <c r="D20" s="157"/>
      <c r="E20" s="157"/>
      <c r="F20" s="157"/>
      <c r="G20" s="158"/>
    </row>
    <row r="21" spans="1:7" ht="114.75" x14ac:dyDescent="0.25">
      <c r="A21" s="23" t="s">
        <v>225</v>
      </c>
      <c r="B21" s="24" t="s">
        <v>381</v>
      </c>
      <c r="C21" s="23"/>
      <c r="D21" s="23">
        <v>5</v>
      </c>
      <c r="E21" s="23"/>
      <c r="F21" s="23"/>
      <c r="G21" s="24" t="s">
        <v>558</v>
      </c>
    </row>
    <row r="22" spans="1:7" ht="25.5" x14ac:dyDescent="0.25">
      <c r="A22" s="22" t="s">
        <v>226</v>
      </c>
      <c r="B22" s="33" t="s">
        <v>382</v>
      </c>
      <c r="C22" s="22">
        <v>20</v>
      </c>
      <c r="D22" s="15"/>
      <c r="E22" s="15"/>
      <c r="F22" s="15"/>
      <c r="G22" s="65"/>
    </row>
    <row r="23" spans="1:7" ht="31.5" customHeight="1" x14ac:dyDescent="0.25">
      <c r="A23" s="160" t="s">
        <v>227</v>
      </c>
      <c r="B23" s="69" t="s">
        <v>383</v>
      </c>
      <c r="C23" s="68"/>
      <c r="D23" s="68">
        <v>15</v>
      </c>
      <c r="E23" s="81"/>
      <c r="F23" s="81"/>
      <c r="G23" s="159" t="s">
        <v>402</v>
      </c>
    </row>
    <row r="24" spans="1:7" ht="31.5" customHeight="1" x14ac:dyDescent="0.25">
      <c r="A24" s="161"/>
      <c r="B24" s="84" t="s">
        <v>384</v>
      </c>
      <c r="C24" s="23"/>
      <c r="D24" s="23">
        <v>5</v>
      </c>
      <c r="E24" s="23"/>
      <c r="F24" s="23"/>
      <c r="G24" s="159"/>
    </row>
    <row r="25" spans="1:7" ht="31.5" customHeight="1" x14ac:dyDescent="0.25">
      <c r="A25" s="161"/>
      <c r="B25" s="84" t="s">
        <v>403</v>
      </c>
      <c r="C25" s="23"/>
      <c r="D25" s="23">
        <v>10</v>
      </c>
      <c r="E25" s="23"/>
      <c r="F25" s="23"/>
      <c r="G25" s="159"/>
    </row>
    <row r="26" spans="1:7" ht="31.5" customHeight="1" x14ac:dyDescent="0.25">
      <c r="A26" s="162"/>
      <c r="B26" s="84" t="s">
        <v>404</v>
      </c>
      <c r="C26" s="23"/>
      <c r="D26" s="23">
        <v>15</v>
      </c>
      <c r="E26" s="23"/>
      <c r="F26" s="23"/>
      <c r="G26" s="159"/>
    </row>
    <row r="27" spans="1:7" ht="45" customHeight="1" x14ac:dyDescent="0.25">
      <c r="A27" s="42" t="s">
        <v>228</v>
      </c>
      <c r="B27" s="24" t="s">
        <v>385</v>
      </c>
      <c r="C27" s="23"/>
      <c r="D27" s="23">
        <v>5</v>
      </c>
      <c r="E27" s="28"/>
      <c r="F27" s="28"/>
      <c r="G27" s="24" t="s">
        <v>564</v>
      </c>
    </row>
    <row r="28" spans="1:7" ht="25.5" x14ac:dyDescent="0.25">
      <c r="A28" s="22" t="s">
        <v>229</v>
      </c>
      <c r="B28" s="33" t="s">
        <v>230</v>
      </c>
      <c r="C28" s="22">
        <v>20</v>
      </c>
      <c r="D28" s="15"/>
      <c r="E28" s="15"/>
      <c r="F28" s="15"/>
      <c r="G28" s="65"/>
    </row>
    <row r="29" spans="1:7" ht="24.75" customHeight="1" x14ac:dyDescent="0.25">
      <c r="A29" s="146"/>
      <c r="B29" s="60" t="s">
        <v>231</v>
      </c>
      <c r="C29" s="23"/>
      <c r="D29" s="42">
        <v>5</v>
      </c>
      <c r="E29" s="42"/>
      <c r="F29" s="42"/>
      <c r="G29" s="154" t="s">
        <v>386</v>
      </c>
    </row>
    <row r="30" spans="1:7" ht="22.5" customHeight="1" x14ac:dyDescent="0.25">
      <c r="A30" s="147"/>
      <c r="B30" s="24" t="s">
        <v>232</v>
      </c>
      <c r="C30" s="23"/>
      <c r="D30" s="23">
        <v>10</v>
      </c>
      <c r="E30" s="23"/>
      <c r="F30" s="23"/>
      <c r="G30" s="155"/>
    </row>
    <row r="31" spans="1:7" ht="22.5" customHeight="1" x14ac:dyDescent="0.25">
      <c r="A31" s="147"/>
      <c r="B31" s="24" t="s">
        <v>233</v>
      </c>
      <c r="C31" s="23"/>
      <c r="D31" s="23">
        <v>15</v>
      </c>
      <c r="E31" s="23"/>
      <c r="F31" s="23"/>
      <c r="G31" s="155"/>
    </row>
    <row r="32" spans="1:7" ht="22.5" customHeight="1" x14ac:dyDescent="0.25">
      <c r="A32" s="148"/>
      <c r="B32" s="24" t="s">
        <v>234</v>
      </c>
      <c r="C32" s="23"/>
      <c r="D32" s="23">
        <v>20</v>
      </c>
      <c r="E32" s="23"/>
      <c r="F32" s="23"/>
      <c r="G32" s="156"/>
    </row>
    <row r="33" spans="1:7" x14ac:dyDescent="0.25">
      <c r="A33" s="15"/>
      <c r="B33" s="22" t="s">
        <v>387</v>
      </c>
      <c r="C33" s="22">
        <f>SUM(C3:C32)</f>
        <v>100</v>
      </c>
      <c r="D33" s="112"/>
      <c r="E33" s="112">
        <f>SUM(E3:E32)</f>
        <v>0</v>
      </c>
      <c r="F33" s="112">
        <f>SUM(F3:F32)</f>
        <v>0</v>
      </c>
      <c r="G33" s="65"/>
    </row>
  </sheetData>
  <mergeCells count="9">
    <mergeCell ref="G29:G32"/>
    <mergeCell ref="A29:A32"/>
    <mergeCell ref="A14:A20"/>
    <mergeCell ref="B20:G20"/>
    <mergeCell ref="A1:G1"/>
    <mergeCell ref="C2:D2"/>
    <mergeCell ref="G23:G26"/>
    <mergeCell ref="G15:G19"/>
    <mergeCell ref="A23:A2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7"/>
  <sheetViews>
    <sheetView topLeftCell="A6" workbookViewId="0">
      <selection activeCell="C7" sqref="C7"/>
    </sheetView>
  </sheetViews>
  <sheetFormatPr defaultRowHeight="12.75" x14ac:dyDescent="0.25"/>
  <cols>
    <col min="1" max="1" width="14.7109375" style="10" bestFit="1" customWidth="1"/>
    <col min="2" max="2" width="41.85546875" style="29" customWidth="1"/>
    <col min="3" max="4" width="8.140625" style="10" customWidth="1"/>
    <col min="5" max="6" width="16.5703125" style="10" customWidth="1"/>
    <col min="7" max="7" width="67.85546875" style="29" customWidth="1"/>
    <col min="8" max="8" width="91.140625" style="29" customWidth="1"/>
    <col min="9" max="258" width="9.140625" style="29"/>
    <col min="259" max="259" width="22.42578125" style="29" customWidth="1"/>
    <col min="260" max="260" width="49.5703125" style="29" customWidth="1"/>
    <col min="261" max="261" width="7" style="29" customWidth="1"/>
    <col min="262" max="262" width="7.85546875" style="29" customWidth="1"/>
    <col min="263" max="264" width="91.140625" style="29" customWidth="1"/>
    <col min="265" max="514" width="9.140625" style="29"/>
    <col min="515" max="515" width="22.42578125" style="29" customWidth="1"/>
    <col min="516" max="516" width="49.5703125" style="29" customWidth="1"/>
    <col min="517" max="517" width="7" style="29" customWidth="1"/>
    <col min="518" max="518" width="7.85546875" style="29" customWidth="1"/>
    <col min="519" max="520" width="91.140625" style="29" customWidth="1"/>
    <col min="521" max="770" width="9.140625" style="29"/>
    <col min="771" max="771" width="22.42578125" style="29" customWidth="1"/>
    <col min="772" max="772" width="49.5703125" style="29" customWidth="1"/>
    <col min="773" max="773" width="7" style="29" customWidth="1"/>
    <col min="774" max="774" width="7.85546875" style="29" customWidth="1"/>
    <col min="775" max="776" width="91.140625" style="29" customWidth="1"/>
    <col min="777" max="1026" width="9.140625" style="29"/>
    <col min="1027" max="1027" width="22.42578125" style="29" customWidth="1"/>
    <col min="1028" max="1028" width="49.5703125" style="29" customWidth="1"/>
    <col min="1029" max="1029" width="7" style="29" customWidth="1"/>
    <col min="1030" max="1030" width="7.85546875" style="29" customWidth="1"/>
    <col min="1031" max="1032" width="91.140625" style="29" customWidth="1"/>
    <col min="1033" max="1282" width="9.140625" style="29"/>
    <col min="1283" max="1283" width="22.42578125" style="29" customWidth="1"/>
    <col min="1284" max="1284" width="49.5703125" style="29" customWidth="1"/>
    <col min="1285" max="1285" width="7" style="29" customWidth="1"/>
    <col min="1286" max="1286" width="7.85546875" style="29" customWidth="1"/>
    <col min="1287" max="1288" width="91.140625" style="29" customWidth="1"/>
    <col min="1289" max="1538" width="9.140625" style="29"/>
    <col min="1539" max="1539" width="22.42578125" style="29" customWidth="1"/>
    <col min="1540" max="1540" width="49.5703125" style="29" customWidth="1"/>
    <col min="1541" max="1541" width="7" style="29" customWidth="1"/>
    <col min="1542" max="1542" width="7.85546875" style="29" customWidth="1"/>
    <col min="1543" max="1544" width="91.140625" style="29" customWidth="1"/>
    <col min="1545" max="1794" width="9.140625" style="29"/>
    <col min="1795" max="1795" width="22.42578125" style="29" customWidth="1"/>
    <col min="1796" max="1796" width="49.5703125" style="29" customWidth="1"/>
    <col min="1797" max="1797" width="7" style="29" customWidth="1"/>
    <col min="1798" max="1798" width="7.85546875" style="29" customWidth="1"/>
    <col min="1799" max="1800" width="91.140625" style="29" customWidth="1"/>
    <col min="1801" max="2050" width="9.140625" style="29"/>
    <col min="2051" max="2051" width="22.42578125" style="29" customWidth="1"/>
    <col min="2052" max="2052" width="49.5703125" style="29" customWidth="1"/>
    <col min="2053" max="2053" width="7" style="29" customWidth="1"/>
    <col min="2054" max="2054" width="7.85546875" style="29" customWidth="1"/>
    <col min="2055" max="2056" width="91.140625" style="29" customWidth="1"/>
    <col min="2057" max="2306" width="9.140625" style="29"/>
    <col min="2307" max="2307" width="22.42578125" style="29" customWidth="1"/>
    <col min="2308" max="2308" width="49.5703125" style="29" customWidth="1"/>
    <col min="2309" max="2309" width="7" style="29" customWidth="1"/>
    <col min="2310" max="2310" width="7.85546875" style="29" customWidth="1"/>
    <col min="2311" max="2312" width="91.140625" style="29" customWidth="1"/>
    <col min="2313" max="2562" width="9.140625" style="29"/>
    <col min="2563" max="2563" width="22.42578125" style="29" customWidth="1"/>
    <col min="2564" max="2564" width="49.5703125" style="29" customWidth="1"/>
    <col min="2565" max="2565" width="7" style="29" customWidth="1"/>
    <col min="2566" max="2566" width="7.85546875" style="29" customWidth="1"/>
    <col min="2567" max="2568" width="91.140625" style="29" customWidth="1"/>
    <col min="2569" max="2818" width="9.140625" style="29"/>
    <col min="2819" max="2819" width="22.42578125" style="29" customWidth="1"/>
    <col min="2820" max="2820" width="49.5703125" style="29" customWidth="1"/>
    <col min="2821" max="2821" width="7" style="29" customWidth="1"/>
    <col min="2822" max="2822" width="7.85546875" style="29" customWidth="1"/>
    <col min="2823" max="2824" width="91.140625" style="29" customWidth="1"/>
    <col min="2825" max="3074" width="9.140625" style="29"/>
    <col min="3075" max="3075" width="22.42578125" style="29" customWidth="1"/>
    <col min="3076" max="3076" width="49.5703125" style="29" customWidth="1"/>
    <col min="3077" max="3077" width="7" style="29" customWidth="1"/>
    <col min="3078" max="3078" width="7.85546875" style="29" customWidth="1"/>
    <col min="3079" max="3080" width="91.140625" style="29" customWidth="1"/>
    <col min="3081" max="3330" width="9.140625" style="29"/>
    <col min="3331" max="3331" width="22.42578125" style="29" customWidth="1"/>
    <col min="3332" max="3332" width="49.5703125" style="29" customWidth="1"/>
    <col min="3333" max="3333" width="7" style="29" customWidth="1"/>
    <col min="3334" max="3334" width="7.85546875" style="29" customWidth="1"/>
    <col min="3335" max="3336" width="91.140625" style="29" customWidth="1"/>
    <col min="3337" max="3586" width="9.140625" style="29"/>
    <col min="3587" max="3587" width="22.42578125" style="29" customWidth="1"/>
    <col min="3588" max="3588" width="49.5703125" style="29" customWidth="1"/>
    <col min="3589" max="3589" width="7" style="29" customWidth="1"/>
    <col min="3590" max="3590" width="7.85546875" style="29" customWidth="1"/>
    <col min="3591" max="3592" width="91.140625" style="29" customWidth="1"/>
    <col min="3593" max="3842" width="9.140625" style="29"/>
    <col min="3843" max="3843" width="22.42578125" style="29" customWidth="1"/>
    <col min="3844" max="3844" width="49.5703125" style="29" customWidth="1"/>
    <col min="3845" max="3845" width="7" style="29" customWidth="1"/>
    <col min="3846" max="3846" width="7.85546875" style="29" customWidth="1"/>
    <col min="3847" max="3848" width="91.140625" style="29" customWidth="1"/>
    <col min="3849" max="4098" width="9.140625" style="29"/>
    <col min="4099" max="4099" width="22.42578125" style="29" customWidth="1"/>
    <col min="4100" max="4100" width="49.5703125" style="29" customWidth="1"/>
    <col min="4101" max="4101" width="7" style="29" customWidth="1"/>
    <col min="4102" max="4102" width="7.85546875" style="29" customWidth="1"/>
    <col min="4103" max="4104" width="91.140625" style="29" customWidth="1"/>
    <col min="4105" max="4354" width="9.140625" style="29"/>
    <col min="4355" max="4355" width="22.42578125" style="29" customWidth="1"/>
    <col min="4356" max="4356" width="49.5703125" style="29" customWidth="1"/>
    <col min="4357" max="4357" width="7" style="29" customWidth="1"/>
    <col min="4358" max="4358" width="7.85546875" style="29" customWidth="1"/>
    <col min="4359" max="4360" width="91.140625" style="29" customWidth="1"/>
    <col min="4361" max="4610" width="9.140625" style="29"/>
    <col min="4611" max="4611" width="22.42578125" style="29" customWidth="1"/>
    <col min="4612" max="4612" width="49.5703125" style="29" customWidth="1"/>
    <col min="4613" max="4613" width="7" style="29" customWidth="1"/>
    <col min="4614" max="4614" width="7.85546875" style="29" customWidth="1"/>
    <col min="4615" max="4616" width="91.140625" style="29" customWidth="1"/>
    <col min="4617" max="4866" width="9.140625" style="29"/>
    <col min="4867" max="4867" width="22.42578125" style="29" customWidth="1"/>
    <col min="4868" max="4868" width="49.5703125" style="29" customWidth="1"/>
    <col min="4869" max="4869" width="7" style="29" customWidth="1"/>
    <col min="4870" max="4870" width="7.85546875" style="29" customWidth="1"/>
    <col min="4871" max="4872" width="91.140625" style="29" customWidth="1"/>
    <col min="4873" max="5122" width="9.140625" style="29"/>
    <col min="5123" max="5123" width="22.42578125" style="29" customWidth="1"/>
    <col min="5124" max="5124" width="49.5703125" style="29" customWidth="1"/>
    <col min="5125" max="5125" width="7" style="29" customWidth="1"/>
    <col min="5126" max="5126" width="7.85546875" style="29" customWidth="1"/>
    <col min="5127" max="5128" width="91.140625" style="29" customWidth="1"/>
    <col min="5129" max="5378" width="9.140625" style="29"/>
    <col min="5379" max="5379" width="22.42578125" style="29" customWidth="1"/>
    <col min="5380" max="5380" width="49.5703125" style="29" customWidth="1"/>
    <col min="5381" max="5381" width="7" style="29" customWidth="1"/>
    <col min="5382" max="5382" width="7.85546875" style="29" customWidth="1"/>
    <col min="5383" max="5384" width="91.140625" style="29" customWidth="1"/>
    <col min="5385" max="5634" width="9.140625" style="29"/>
    <col min="5635" max="5635" width="22.42578125" style="29" customWidth="1"/>
    <col min="5636" max="5636" width="49.5703125" style="29" customWidth="1"/>
    <col min="5637" max="5637" width="7" style="29" customWidth="1"/>
    <col min="5638" max="5638" width="7.85546875" style="29" customWidth="1"/>
    <col min="5639" max="5640" width="91.140625" style="29" customWidth="1"/>
    <col min="5641" max="5890" width="9.140625" style="29"/>
    <col min="5891" max="5891" width="22.42578125" style="29" customWidth="1"/>
    <col min="5892" max="5892" width="49.5703125" style="29" customWidth="1"/>
    <col min="5893" max="5893" width="7" style="29" customWidth="1"/>
    <col min="5894" max="5894" width="7.85546875" style="29" customWidth="1"/>
    <col min="5895" max="5896" width="91.140625" style="29" customWidth="1"/>
    <col min="5897" max="6146" width="9.140625" style="29"/>
    <col min="6147" max="6147" width="22.42578125" style="29" customWidth="1"/>
    <col min="6148" max="6148" width="49.5703125" style="29" customWidth="1"/>
    <col min="6149" max="6149" width="7" style="29" customWidth="1"/>
    <col min="6150" max="6150" width="7.85546875" style="29" customWidth="1"/>
    <col min="6151" max="6152" width="91.140625" style="29" customWidth="1"/>
    <col min="6153" max="6402" width="9.140625" style="29"/>
    <col min="6403" max="6403" width="22.42578125" style="29" customWidth="1"/>
    <col min="6404" max="6404" width="49.5703125" style="29" customWidth="1"/>
    <col min="6405" max="6405" width="7" style="29" customWidth="1"/>
    <col min="6406" max="6406" width="7.85546875" style="29" customWidth="1"/>
    <col min="6407" max="6408" width="91.140625" style="29" customWidth="1"/>
    <col min="6409" max="6658" width="9.140625" style="29"/>
    <col min="6659" max="6659" width="22.42578125" style="29" customWidth="1"/>
    <col min="6660" max="6660" width="49.5703125" style="29" customWidth="1"/>
    <col min="6661" max="6661" width="7" style="29" customWidth="1"/>
    <col min="6662" max="6662" width="7.85546875" style="29" customWidth="1"/>
    <col min="6663" max="6664" width="91.140625" style="29" customWidth="1"/>
    <col min="6665" max="6914" width="9.140625" style="29"/>
    <col min="6915" max="6915" width="22.42578125" style="29" customWidth="1"/>
    <col min="6916" max="6916" width="49.5703125" style="29" customWidth="1"/>
    <col min="6917" max="6917" width="7" style="29" customWidth="1"/>
    <col min="6918" max="6918" width="7.85546875" style="29" customWidth="1"/>
    <col min="6919" max="6920" width="91.140625" style="29" customWidth="1"/>
    <col min="6921" max="7170" width="9.140625" style="29"/>
    <col min="7171" max="7171" width="22.42578125" style="29" customWidth="1"/>
    <col min="7172" max="7172" width="49.5703125" style="29" customWidth="1"/>
    <col min="7173" max="7173" width="7" style="29" customWidth="1"/>
    <col min="7174" max="7174" width="7.85546875" style="29" customWidth="1"/>
    <col min="7175" max="7176" width="91.140625" style="29" customWidth="1"/>
    <col min="7177" max="7426" width="9.140625" style="29"/>
    <col min="7427" max="7427" width="22.42578125" style="29" customWidth="1"/>
    <col min="7428" max="7428" width="49.5703125" style="29" customWidth="1"/>
    <col min="7429" max="7429" width="7" style="29" customWidth="1"/>
    <col min="7430" max="7430" width="7.85546875" style="29" customWidth="1"/>
    <col min="7431" max="7432" width="91.140625" style="29" customWidth="1"/>
    <col min="7433" max="7682" width="9.140625" style="29"/>
    <col min="7683" max="7683" width="22.42578125" style="29" customWidth="1"/>
    <col min="7684" max="7684" width="49.5703125" style="29" customWidth="1"/>
    <col min="7685" max="7685" width="7" style="29" customWidth="1"/>
    <col min="7686" max="7686" width="7.85546875" style="29" customWidth="1"/>
    <col min="7687" max="7688" width="91.140625" style="29" customWidth="1"/>
    <col min="7689" max="7938" width="9.140625" style="29"/>
    <col min="7939" max="7939" width="22.42578125" style="29" customWidth="1"/>
    <col min="7940" max="7940" width="49.5703125" style="29" customWidth="1"/>
    <col min="7941" max="7941" width="7" style="29" customWidth="1"/>
    <col min="7942" max="7942" width="7.85546875" style="29" customWidth="1"/>
    <col min="7943" max="7944" width="91.140625" style="29" customWidth="1"/>
    <col min="7945" max="8194" width="9.140625" style="29"/>
    <col min="8195" max="8195" width="22.42578125" style="29" customWidth="1"/>
    <col min="8196" max="8196" width="49.5703125" style="29" customWidth="1"/>
    <col min="8197" max="8197" width="7" style="29" customWidth="1"/>
    <col min="8198" max="8198" width="7.85546875" style="29" customWidth="1"/>
    <col min="8199" max="8200" width="91.140625" style="29" customWidth="1"/>
    <col min="8201" max="8450" width="9.140625" style="29"/>
    <col min="8451" max="8451" width="22.42578125" style="29" customWidth="1"/>
    <col min="8452" max="8452" width="49.5703125" style="29" customWidth="1"/>
    <col min="8453" max="8453" width="7" style="29" customWidth="1"/>
    <col min="8454" max="8454" width="7.85546875" style="29" customWidth="1"/>
    <col min="8455" max="8456" width="91.140625" style="29" customWidth="1"/>
    <col min="8457" max="8706" width="9.140625" style="29"/>
    <col min="8707" max="8707" width="22.42578125" style="29" customWidth="1"/>
    <col min="8708" max="8708" width="49.5703125" style="29" customWidth="1"/>
    <col min="8709" max="8709" width="7" style="29" customWidth="1"/>
    <col min="8710" max="8710" width="7.85546875" style="29" customWidth="1"/>
    <col min="8711" max="8712" width="91.140625" style="29" customWidth="1"/>
    <col min="8713" max="8962" width="9.140625" style="29"/>
    <col min="8963" max="8963" width="22.42578125" style="29" customWidth="1"/>
    <col min="8964" max="8964" width="49.5703125" style="29" customWidth="1"/>
    <col min="8965" max="8965" width="7" style="29" customWidth="1"/>
    <col min="8966" max="8966" width="7.85546875" style="29" customWidth="1"/>
    <col min="8967" max="8968" width="91.140625" style="29" customWidth="1"/>
    <col min="8969" max="9218" width="9.140625" style="29"/>
    <col min="9219" max="9219" width="22.42578125" style="29" customWidth="1"/>
    <col min="9220" max="9220" width="49.5703125" style="29" customWidth="1"/>
    <col min="9221" max="9221" width="7" style="29" customWidth="1"/>
    <col min="9222" max="9222" width="7.85546875" style="29" customWidth="1"/>
    <col min="9223" max="9224" width="91.140625" style="29" customWidth="1"/>
    <col min="9225" max="9474" width="9.140625" style="29"/>
    <col min="9475" max="9475" width="22.42578125" style="29" customWidth="1"/>
    <col min="9476" max="9476" width="49.5703125" style="29" customWidth="1"/>
    <col min="9477" max="9477" width="7" style="29" customWidth="1"/>
    <col min="9478" max="9478" width="7.85546875" style="29" customWidth="1"/>
    <col min="9479" max="9480" width="91.140625" style="29" customWidth="1"/>
    <col min="9481" max="9730" width="9.140625" style="29"/>
    <col min="9731" max="9731" width="22.42578125" style="29" customWidth="1"/>
    <col min="9732" max="9732" width="49.5703125" style="29" customWidth="1"/>
    <col min="9733" max="9733" width="7" style="29" customWidth="1"/>
    <col min="9734" max="9734" width="7.85546875" style="29" customWidth="1"/>
    <col min="9735" max="9736" width="91.140625" style="29" customWidth="1"/>
    <col min="9737" max="9986" width="9.140625" style="29"/>
    <col min="9987" max="9987" width="22.42578125" style="29" customWidth="1"/>
    <col min="9988" max="9988" width="49.5703125" style="29" customWidth="1"/>
    <col min="9989" max="9989" width="7" style="29" customWidth="1"/>
    <col min="9990" max="9990" width="7.85546875" style="29" customWidth="1"/>
    <col min="9991" max="9992" width="91.140625" style="29" customWidth="1"/>
    <col min="9993" max="10242" width="9.140625" style="29"/>
    <col min="10243" max="10243" width="22.42578125" style="29" customWidth="1"/>
    <col min="10244" max="10244" width="49.5703125" style="29" customWidth="1"/>
    <col min="10245" max="10245" width="7" style="29" customWidth="1"/>
    <col min="10246" max="10246" width="7.85546875" style="29" customWidth="1"/>
    <col min="10247" max="10248" width="91.140625" style="29" customWidth="1"/>
    <col min="10249" max="10498" width="9.140625" style="29"/>
    <col min="10499" max="10499" width="22.42578125" style="29" customWidth="1"/>
    <col min="10500" max="10500" width="49.5703125" style="29" customWidth="1"/>
    <col min="10501" max="10501" width="7" style="29" customWidth="1"/>
    <col min="10502" max="10502" width="7.85546875" style="29" customWidth="1"/>
    <col min="10503" max="10504" width="91.140625" style="29" customWidth="1"/>
    <col min="10505" max="10754" width="9.140625" style="29"/>
    <col min="10755" max="10755" width="22.42578125" style="29" customWidth="1"/>
    <col min="10756" max="10756" width="49.5703125" style="29" customWidth="1"/>
    <col min="10757" max="10757" width="7" style="29" customWidth="1"/>
    <col min="10758" max="10758" width="7.85546875" style="29" customWidth="1"/>
    <col min="10759" max="10760" width="91.140625" style="29" customWidth="1"/>
    <col min="10761" max="11010" width="9.140625" style="29"/>
    <col min="11011" max="11011" width="22.42578125" style="29" customWidth="1"/>
    <col min="11012" max="11012" width="49.5703125" style="29" customWidth="1"/>
    <col min="11013" max="11013" width="7" style="29" customWidth="1"/>
    <col min="11014" max="11014" width="7.85546875" style="29" customWidth="1"/>
    <col min="11015" max="11016" width="91.140625" style="29" customWidth="1"/>
    <col min="11017" max="11266" width="9.140625" style="29"/>
    <col min="11267" max="11267" width="22.42578125" style="29" customWidth="1"/>
    <col min="11268" max="11268" width="49.5703125" style="29" customWidth="1"/>
    <col min="11269" max="11269" width="7" style="29" customWidth="1"/>
    <col min="11270" max="11270" width="7.85546875" style="29" customWidth="1"/>
    <col min="11271" max="11272" width="91.140625" style="29" customWidth="1"/>
    <col min="11273" max="11522" width="9.140625" style="29"/>
    <col min="11523" max="11523" width="22.42578125" style="29" customWidth="1"/>
    <col min="11524" max="11524" width="49.5703125" style="29" customWidth="1"/>
    <col min="11525" max="11525" width="7" style="29" customWidth="1"/>
    <col min="11526" max="11526" width="7.85546875" style="29" customWidth="1"/>
    <col min="11527" max="11528" width="91.140625" style="29" customWidth="1"/>
    <col min="11529" max="11778" width="9.140625" style="29"/>
    <col min="11779" max="11779" width="22.42578125" style="29" customWidth="1"/>
    <col min="11780" max="11780" width="49.5703125" style="29" customWidth="1"/>
    <col min="11781" max="11781" width="7" style="29" customWidth="1"/>
    <col min="11782" max="11782" width="7.85546875" style="29" customWidth="1"/>
    <col min="11783" max="11784" width="91.140625" style="29" customWidth="1"/>
    <col min="11785" max="12034" width="9.140625" style="29"/>
    <col min="12035" max="12035" width="22.42578125" style="29" customWidth="1"/>
    <col min="12036" max="12036" width="49.5703125" style="29" customWidth="1"/>
    <col min="12037" max="12037" width="7" style="29" customWidth="1"/>
    <col min="12038" max="12038" width="7.85546875" style="29" customWidth="1"/>
    <col min="12039" max="12040" width="91.140625" style="29" customWidth="1"/>
    <col min="12041" max="12290" width="9.140625" style="29"/>
    <col min="12291" max="12291" width="22.42578125" style="29" customWidth="1"/>
    <col min="12292" max="12292" width="49.5703125" style="29" customWidth="1"/>
    <col min="12293" max="12293" width="7" style="29" customWidth="1"/>
    <col min="12294" max="12294" width="7.85546875" style="29" customWidth="1"/>
    <col min="12295" max="12296" width="91.140625" style="29" customWidth="1"/>
    <col min="12297" max="12546" width="9.140625" style="29"/>
    <col min="12547" max="12547" width="22.42578125" style="29" customWidth="1"/>
    <col min="12548" max="12548" width="49.5703125" style="29" customWidth="1"/>
    <col min="12549" max="12549" width="7" style="29" customWidth="1"/>
    <col min="12550" max="12550" width="7.85546875" style="29" customWidth="1"/>
    <col min="12551" max="12552" width="91.140625" style="29" customWidth="1"/>
    <col min="12553" max="12802" width="9.140625" style="29"/>
    <col min="12803" max="12803" width="22.42578125" style="29" customWidth="1"/>
    <col min="12804" max="12804" width="49.5703125" style="29" customWidth="1"/>
    <col min="12805" max="12805" width="7" style="29" customWidth="1"/>
    <col min="12806" max="12806" width="7.85546875" style="29" customWidth="1"/>
    <col min="12807" max="12808" width="91.140625" style="29" customWidth="1"/>
    <col min="12809" max="13058" width="9.140625" style="29"/>
    <col min="13059" max="13059" width="22.42578125" style="29" customWidth="1"/>
    <col min="13060" max="13060" width="49.5703125" style="29" customWidth="1"/>
    <col min="13061" max="13061" width="7" style="29" customWidth="1"/>
    <col min="13062" max="13062" width="7.85546875" style="29" customWidth="1"/>
    <col min="13063" max="13064" width="91.140625" style="29" customWidth="1"/>
    <col min="13065" max="13314" width="9.140625" style="29"/>
    <col min="13315" max="13315" width="22.42578125" style="29" customWidth="1"/>
    <col min="13316" max="13316" width="49.5703125" style="29" customWidth="1"/>
    <col min="13317" max="13317" width="7" style="29" customWidth="1"/>
    <col min="13318" max="13318" width="7.85546875" style="29" customWidth="1"/>
    <col min="13319" max="13320" width="91.140625" style="29" customWidth="1"/>
    <col min="13321" max="13570" width="9.140625" style="29"/>
    <col min="13571" max="13571" width="22.42578125" style="29" customWidth="1"/>
    <col min="13572" max="13572" width="49.5703125" style="29" customWidth="1"/>
    <col min="13573" max="13573" width="7" style="29" customWidth="1"/>
    <col min="13574" max="13574" width="7.85546875" style="29" customWidth="1"/>
    <col min="13575" max="13576" width="91.140625" style="29" customWidth="1"/>
    <col min="13577" max="13826" width="9.140625" style="29"/>
    <col min="13827" max="13827" width="22.42578125" style="29" customWidth="1"/>
    <col min="13828" max="13828" width="49.5703125" style="29" customWidth="1"/>
    <col min="13829" max="13829" width="7" style="29" customWidth="1"/>
    <col min="13830" max="13830" width="7.85546875" style="29" customWidth="1"/>
    <col min="13831" max="13832" width="91.140625" style="29" customWidth="1"/>
    <col min="13833" max="14082" width="9.140625" style="29"/>
    <col min="14083" max="14083" width="22.42578125" style="29" customWidth="1"/>
    <col min="14084" max="14084" width="49.5703125" style="29" customWidth="1"/>
    <col min="14085" max="14085" width="7" style="29" customWidth="1"/>
    <col min="14086" max="14086" width="7.85546875" style="29" customWidth="1"/>
    <col min="14087" max="14088" width="91.140625" style="29" customWidth="1"/>
    <col min="14089" max="14338" width="9.140625" style="29"/>
    <col min="14339" max="14339" width="22.42578125" style="29" customWidth="1"/>
    <col min="14340" max="14340" width="49.5703125" style="29" customWidth="1"/>
    <col min="14341" max="14341" width="7" style="29" customWidth="1"/>
    <col min="14342" max="14342" width="7.85546875" style="29" customWidth="1"/>
    <col min="14343" max="14344" width="91.140625" style="29" customWidth="1"/>
    <col min="14345" max="14594" width="9.140625" style="29"/>
    <col min="14595" max="14595" width="22.42578125" style="29" customWidth="1"/>
    <col min="14596" max="14596" width="49.5703125" style="29" customWidth="1"/>
    <col min="14597" max="14597" width="7" style="29" customWidth="1"/>
    <col min="14598" max="14598" width="7.85546875" style="29" customWidth="1"/>
    <col min="14599" max="14600" width="91.140625" style="29" customWidth="1"/>
    <col min="14601" max="14850" width="9.140625" style="29"/>
    <col min="14851" max="14851" width="22.42578125" style="29" customWidth="1"/>
    <col min="14852" max="14852" width="49.5703125" style="29" customWidth="1"/>
    <col min="14853" max="14853" width="7" style="29" customWidth="1"/>
    <col min="14854" max="14854" width="7.85546875" style="29" customWidth="1"/>
    <col min="14855" max="14856" width="91.140625" style="29" customWidth="1"/>
    <col min="14857" max="15106" width="9.140625" style="29"/>
    <col min="15107" max="15107" width="22.42578125" style="29" customWidth="1"/>
    <col min="15108" max="15108" width="49.5703125" style="29" customWidth="1"/>
    <col min="15109" max="15109" width="7" style="29" customWidth="1"/>
    <col min="15110" max="15110" width="7.85546875" style="29" customWidth="1"/>
    <col min="15111" max="15112" width="91.140625" style="29" customWidth="1"/>
    <col min="15113" max="15362" width="9.140625" style="29"/>
    <col min="15363" max="15363" width="22.42578125" style="29" customWidth="1"/>
    <col min="15364" max="15364" width="49.5703125" style="29" customWidth="1"/>
    <col min="15365" max="15365" width="7" style="29" customWidth="1"/>
    <col min="15366" max="15366" width="7.85546875" style="29" customWidth="1"/>
    <col min="15367" max="15368" width="91.140625" style="29" customWidth="1"/>
    <col min="15369" max="15618" width="9.140625" style="29"/>
    <col min="15619" max="15619" width="22.42578125" style="29" customWidth="1"/>
    <col min="15620" max="15620" width="49.5703125" style="29" customWidth="1"/>
    <col min="15621" max="15621" width="7" style="29" customWidth="1"/>
    <col min="15622" max="15622" width="7.85546875" style="29" customWidth="1"/>
    <col min="15623" max="15624" width="91.140625" style="29" customWidth="1"/>
    <col min="15625" max="15874" width="9.140625" style="29"/>
    <col min="15875" max="15875" width="22.42578125" style="29" customWidth="1"/>
    <col min="15876" max="15876" width="49.5703125" style="29" customWidth="1"/>
    <col min="15877" max="15877" width="7" style="29" customWidth="1"/>
    <col min="15878" max="15878" width="7.85546875" style="29" customWidth="1"/>
    <col min="15879" max="15880" width="91.140625" style="29" customWidth="1"/>
    <col min="15881" max="16130" width="9.140625" style="29"/>
    <col min="16131" max="16131" width="22.42578125" style="29" customWidth="1"/>
    <col min="16132" max="16132" width="49.5703125" style="29" customWidth="1"/>
    <col min="16133" max="16133" width="7" style="29" customWidth="1"/>
    <col min="16134" max="16134" width="7.85546875" style="29" customWidth="1"/>
    <col min="16135" max="16136" width="91.140625" style="29" customWidth="1"/>
    <col min="16137" max="16384" width="9.140625" style="29"/>
  </cols>
  <sheetData>
    <row r="1" spans="1:7" x14ac:dyDescent="0.25">
      <c r="A1" s="141" t="s">
        <v>315</v>
      </c>
      <c r="B1" s="141"/>
      <c r="C1" s="141"/>
      <c r="D1" s="141"/>
      <c r="E1" s="141"/>
      <c r="F1" s="141"/>
      <c r="G1" s="141"/>
    </row>
    <row r="2" spans="1:7" s="10" customFormat="1" ht="40.5" customHeight="1" x14ac:dyDescent="0.25">
      <c r="A2" s="38" t="s">
        <v>0</v>
      </c>
      <c r="B2" s="38" t="s">
        <v>1</v>
      </c>
      <c r="C2" s="141" t="s">
        <v>2</v>
      </c>
      <c r="D2" s="141"/>
      <c r="E2" s="38" t="s">
        <v>3</v>
      </c>
      <c r="F2" s="38" t="s">
        <v>4</v>
      </c>
      <c r="G2" s="17" t="s">
        <v>5</v>
      </c>
    </row>
    <row r="3" spans="1:7" s="59" customFormat="1" ht="76.5" x14ac:dyDescent="0.25">
      <c r="A3" s="21" t="s">
        <v>316</v>
      </c>
      <c r="B3" s="33" t="s">
        <v>143</v>
      </c>
      <c r="C3" s="15"/>
      <c r="D3" s="15"/>
      <c r="E3" s="15"/>
      <c r="F3" s="15"/>
      <c r="G3" s="65" t="s">
        <v>329</v>
      </c>
    </row>
    <row r="4" spans="1:7" s="59" customFormat="1" ht="14.25" customHeight="1" x14ac:dyDescent="0.25">
      <c r="A4" s="21" t="s">
        <v>144</v>
      </c>
      <c r="B4" s="33" t="s">
        <v>12</v>
      </c>
      <c r="C4" s="21">
        <v>10</v>
      </c>
      <c r="D4" s="15"/>
      <c r="E4" s="15"/>
      <c r="F4" s="15"/>
      <c r="G4" s="65"/>
    </row>
    <row r="5" spans="1:7" ht="63.75" x14ac:dyDescent="0.25">
      <c r="A5" s="39" t="s">
        <v>145</v>
      </c>
      <c r="B5" s="58" t="s">
        <v>320</v>
      </c>
      <c r="C5" s="20"/>
      <c r="D5" s="39">
        <v>5</v>
      </c>
      <c r="E5" s="39"/>
      <c r="F5" s="39"/>
      <c r="G5" s="19" t="s">
        <v>321</v>
      </c>
    </row>
    <row r="6" spans="1:7" ht="63.75" x14ac:dyDescent="0.25">
      <c r="A6" s="39" t="s">
        <v>146</v>
      </c>
      <c r="B6" s="58" t="s">
        <v>322</v>
      </c>
      <c r="C6" s="20"/>
      <c r="D6" s="39">
        <v>5</v>
      </c>
      <c r="E6" s="39"/>
      <c r="F6" s="39"/>
      <c r="G6" s="58" t="s">
        <v>324</v>
      </c>
    </row>
    <row r="7" spans="1:7" ht="25.5" x14ac:dyDescent="0.25">
      <c r="A7" s="21" t="s">
        <v>147</v>
      </c>
      <c r="B7" s="33" t="s">
        <v>148</v>
      </c>
      <c r="C7" s="21">
        <v>25</v>
      </c>
      <c r="D7" s="15"/>
      <c r="E7" s="15"/>
      <c r="F7" s="15"/>
      <c r="G7" s="33"/>
    </row>
    <row r="8" spans="1:7" x14ac:dyDescent="0.25">
      <c r="A8" s="146"/>
      <c r="B8" s="58" t="s">
        <v>149</v>
      </c>
      <c r="C8" s="20"/>
      <c r="D8" s="39">
        <v>5</v>
      </c>
      <c r="E8" s="39"/>
      <c r="F8" s="39"/>
      <c r="G8" s="159" t="s">
        <v>330</v>
      </c>
    </row>
    <row r="9" spans="1:7" x14ac:dyDescent="0.25">
      <c r="A9" s="147"/>
      <c r="B9" s="58" t="s">
        <v>150</v>
      </c>
      <c r="C9" s="20"/>
      <c r="D9" s="39">
        <v>10</v>
      </c>
      <c r="E9" s="39"/>
      <c r="F9" s="39"/>
      <c r="G9" s="159"/>
    </row>
    <row r="10" spans="1:7" x14ac:dyDescent="0.25">
      <c r="A10" s="147"/>
      <c r="B10" s="58" t="s">
        <v>151</v>
      </c>
      <c r="C10" s="20"/>
      <c r="D10" s="39">
        <v>15</v>
      </c>
      <c r="E10" s="39"/>
      <c r="F10" s="39"/>
      <c r="G10" s="159"/>
    </row>
    <row r="11" spans="1:7" x14ac:dyDescent="0.25">
      <c r="A11" s="147"/>
      <c r="B11" s="58" t="s">
        <v>152</v>
      </c>
      <c r="C11" s="20"/>
      <c r="D11" s="39">
        <v>20</v>
      </c>
      <c r="E11" s="39"/>
      <c r="F11" s="39"/>
      <c r="G11" s="159"/>
    </row>
    <row r="12" spans="1:7" x14ac:dyDescent="0.25">
      <c r="A12" s="148"/>
      <c r="B12" s="58" t="s">
        <v>153</v>
      </c>
      <c r="C12" s="20"/>
      <c r="D12" s="39">
        <v>25</v>
      </c>
      <c r="E12" s="39"/>
      <c r="F12" s="39"/>
      <c r="G12" s="159"/>
    </row>
    <row r="13" spans="1:7" ht="114.75" x14ac:dyDescent="0.25">
      <c r="A13" s="21" t="s">
        <v>325</v>
      </c>
      <c r="B13" s="33" t="s">
        <v>326</v>
      </c>
      <c r="C13" s="21">
        <v>65</v>
      </c>
      <c r="D13" s="15"/>
      <c r="E13" s="15"/>
      <c r="F13" s="15"/>
      <c r="G13" s="65" t="s">
        <v>331</v>
      </c>
    </row>
    <row r="14" spans="1:7" x14ac:dyDescent="0.25">
      <c r="A14" s="15"/>
      <c r="B14" s="22" t="s">
        <v>51</v>
      </c>
      <c r="C14" s="22">
        <f>SUM(C3:C13)</f>
        <v>100</v>
      </c>
      <c r="D14" s="112"/>
      <c r="E14" s="112">
        <f t="shared" ref="E14" si="0">SUM(E3:E13)</f>
        <v>0</v>
      </c>
      <c r="F14" s="112">
        <f>SUM(F3:F13)</f>
        <v>0</v>
      </c>
      <c r="G14" s="65"/>
    </row>
    <row r="15" spans="1:7" x14ac:dyDescent="0.25">
      <c r="A15" s="11" t="s">
        <v>154</v>
      </c>
    </row>
    <row r="16" spans="1:7" ht="51" x14ac:dyDescent="0.25">
      <c r="A16" s="68">
        <v>1</v>
      </c>
      <c r="B16" s="69" t="s">
        <v>327</v>
      </c>
      <c r="D16" s="70"/>
      <c r="E16" s="70"/>
      <c r="F16" s="70"/>
    </row>
    <row r="17" spans="1:7" ht="63.75" x14ac:dyDescent="0.25">
      <c r="A17" s="68">
        <v>2</v>
      </c>
      <c r="B17" s="69" t="s">
        <v>332</v>
      </c>
      <c r="D17" s="71" t="s">
        <v>58</v>
      </c>
      <c r="E17" s="71"/>
      <c r="F17" s="71"/>
      <c r="G17" s="71"/>
    </row>
    <row r="18" spans="1:7" ht="38.25" x14ac:dyDescent="0.25">
      <c r="A18" s="68">
        <v>3</v>
      </c>
      <c r="B18" s="69" t="s">
        <v>155</v>
      </c>
    </row>
    <row r="19" spans="1:7" ht="25.5" x14ac:dyDescent="0.25">
      <c r="A19" s="68">
        <v>4</v>
      </c>
      <c r="B19" s="69" t="s">
        <v>156</v>
      </c>
    </row>
    <row r="20" spans="1:7" ht="25.5" x14ac:dyDescent="0.25">
      <c r="A20" s="20">
        <v>5</v>
      </c>
      <c r="B20" s="19" t="s">
        <v>328</v>
      </c>
    </row>
    <row r="21" spans="1:7" x14ac:dyDescent="0.25">
      <c r="C21" s="29"/>
      <c r="D21" s="29"/>
      <c r="E21" s="29"/>
      <c r="F21" s="29"/>
    </row>
    <row r="22" spans="1:7" x14ac:dyDescent="0.25">
      <c r="C22" s="29"/>
      <c r="D22" s="29"/>
      <c r="E22" s="29"/>
      <c r="F22" s="29"/>
    </row>
    <row r="23" spans="1:7" x14ac:dyDescent="0.25">
      <c r="C23" s="29"/>
      <c r="D23" s="29"/>
      <c r="E23" s="29"/>
      <c r="F23" s="29"/>
    </row>
    <row r="24" spans="1:7" x14ac:dyDescent="0.25">
      <c r="C24" s="29"/>
      <c r="D24" s="29"/>
      <c r="E24" s="29"/>
      <c r="F24" s="29"/>
      <c r="G24" s="67"/>
    </row>
    <row r="25" spans="1:7" x14ac:dyDescent="0.25">
      <c r="C25" s="29"/>
      <c r="D25" s="29"/>
      <c r="E25" s="29"/>
      <c r="F25" s="29"/>
    </row>
    <row r="26" spans="1:7" x14ac:dyDescent="0.25">
      <c r="C26" s="29"/>
      <c r="D26" s="29"/>
      <c r="E26" s="29"/>
      <c r="F26" s="29"/>
    </row>
    <row r="27" spans="1:7" x14ac:dyDescent="0.25">
      <c r="C27" s="29"/>
      <c r="D27" s="29"/>
      <c r="E27" s="29"/>
      <c r="F27" s="29"/>
    </row>
  </sheetData>
  <mergeCells count="4">
    <mergeCell ref="A1:G1"/>
    <mergeCell ref="C2:D2"/>
    <mergeCell ref="G8:G12"/>
    <mergeCell ref="A8:A1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6"/>
  <sheetViews>
    <sheetView topLeftCell="A12" workbookViewId="0">
      <selection activeCell="D26" sqref="D26"/>
    </sheetView>
  </sheetViews>
  <sheetFormatPr defaultRowHeight="12.75" x14ac:dyDescent="0.25"/>
  <cols>
    <col min="1" max="1" width="16" style="10" customWidth="1"/>
    <col min="2" max="2" width="54" style="29" customWidth="1"/>
    <col min="3" max="4" width="8.5703125" style="10" customWidth="1"/>
    <col min="5" max="6" width="16.42578125" style="63" customWidth="1"/>
    <col min="7" max="7" width="66.42578125" style="10" customWidth="1"/>
    <col min="8" max="258" width="9.140625" style="29"/>
    <col min="259" max="259" width="18.28515625" style="29" customWidth="1"/>
    <col min="260" max="260" width="54" style="29" customWidth="1"/>
    <col min="261" max="261" width="10.140625" style="29" customWidth="1"/>
    <col min="262" max="262" width="13" style="29" customWidth="1"/>
    <col min="263" max="263" width="126.7109375" style="29" customWidth="1"/>
    <col min="264" max="514" width="9.140625" style="29"/>
    <col min="515" max="515" width="18.28515625" style="29" customWidth="1"/>
    <col min="516" max="516" width="54" style="29" customWidth="1"/>
    <col min="517" max="517" width="10.140625" style="29" customWidth="1"/>
    <col min="518" max="518" width="13" style="29" customWidth="1"/>
    <col min="519" max="519" width="126.7109375" style="29" customWidth="1"/>
    <col min="520" max="770" width="9.140625" style="29"/>
    <col min="771" max="771" width="18.28515625" style="29" customWidth="1"/>
    <col min="772" max="772" width="54" style="29" customWidth="1"/>
    <col min="773" max="773" width="10.140625" style="29" customWidth="1"/>
    <col min="774" max="774" width="13" style="29" customWidth="1"/>
    <col min="775" max="775" width="126.7109375" style="29" customWidth="1"/>
    <col min="776" max="1026" width="9.140625" style="29"/>
    <col min="1027" max="1027" width="18.28515625" style="29" customWidth="1"/>
    <col min="1028" max="1028" width="54" style="29" customWidth="1"/>
    <col min="1029" max="1029" width="10.140625" style="29" customWidth="1"/>
    <col min="1030" max="1030" width="13" style="29" customWidth="1"/>
    <col min="1031" max="1031" width="126.7109375" style="29" customWidth="1"/>
    <col min="1032" max="1282" width="9.140625" style="29"/>
    <col min="1283" max="1283" width="18.28515625" style="29" customWidth="1"/>
    <col min="1284" max="1284" width="54" style="29" customWidth="1"/>
    <col min="1285" max="1285" width="10.140625" style="29" customWidth="1"/>
    <col min="1286" max="1286" width="13" style="29" customWidth="1"/>
    <col min="1287" max="1287" width="126.7109375" style="29" customWidth="1"/>
    <col min="1288" max="1538" width="9.140625" style="29"/>
    <col min="1539" max="1539" width="18.28515625" style="29" customWidth="1"/>
    <col min="1540" max="1540" width="54" style="29" customWidth="1"/>
    <col min="1541" max="1541" width="10.140625" style="29" customWidth="1"/>
    <col min="1542" max="1542" width="13" style="29" customWidth="1"/>
    <col min="1543" max="1543" width="126.7109375" style="29" customWidth="1"/>
    <col min="1544" max="1794" width="9.140625" style="29"/>
    <col min="1795" max="1795" width="18.28515625" style="29" customWidth="1"/>
    <col min="1796" max="1796" width="54" style="29" customWidth="1"/>
    <col min="1797" max="1797" width="10.140625" style="29" customWidth="1"/>
    <col min="1798" max="1798" width="13" style="29" customWidth="1"/>
    <col min="1799" max="1799" width="126.7109375" style="29" customWidth="1"/>
    <col min="1800" max="2050" width="9.140625" style="29"/>
    <col min="2051" max="2051" width="18.28515625" style="29" customWidth="1"/>
    <col min="2052" max="2052" width="54" style="29" customWidth="1"/>
    <col min="2053" max="2053" width="10.140625" style="29" customWidth="1"/>
    <col min="2054" max="2054" width="13" style="29" customWidth="1"/>
    <col min="2055" max="2055" width="126.7109375" style="29" customWidth="1"/>
    <col min="2056" max="2306" width="9.140625" style="29"/>
    <col min="2307" max="2307" width="18.28515625" style="29" customWidth="1"/>
    <col min="2308" max="2308" width="54" style="29" customWidth="1"/>
    <col min="2309" max="2309" width="10.140625" style="29" customWidth="1"/>
    <col min="2310" max="2310" width="13" style="29" customWidth="1"/>
    <col min="2311" max="2311" width="126.7109375" style="29" customWidth="1"/>
    <col min="2312" max="2562" width="9.140625" style="29"/>
    <col min="2563" max="2563" width="18.28515625" style="29" customWidth="1"/>
    <col min="2564" max="2564" width="54" style="29" customWidth="1"/>
    <col min="2565" max="2565" width="10.140625" style="29" customWidth="1"/>
    <col min="2566" max="2566" width="13" style="29" customWidth="1"/>
    <col min="2567" max="2567" width="126.7109375" style="29" customWidth="1"/>
    <col min="2568" max="2818" width="9.140625" style="29"/>
    <col min="2819" max="2819" width="18.28515625" style="29" customWidth="1"/>
    <col min="2820" max="2820" width="54" style="29" customWidth="1"/>
    <col min="2821" max="2821" width="10.140625" style="29" customWidth="1"/>
    <col min="2822" max="2822" width="13" style="29" customWidth="1"/>
    <col min="2823" max="2823" width="126.7109375" style="29" customWidth="1"/>
    <col min="2824" max="3074" width="9.140625" style="29"/>
    <col min="3075" max="3075" width="18.28515625" style="29" customWidth="1"/>
    <col min="3076" max="3076" width="54" style="29" customWidth="1"/>
    <col min="3077" max="3077" width="10.140625" style="29" customWidth="1"/>
    <col min="3078" max="3078" width="13" style="29" customWidth="1"/>
    <col min="3079" max="3079" width="126.7109375" style="29" customWidth="1"/>
    <col min="3080" max="3330" width="9.140625" style="29"/>
    <col min="3331" max="3331" width="18.28515625" style="29" customWidth="1"/>
    <col min="3332" max="3332" width="54" style="29" customWidth="1"/>
    <col min="3333" max="3333" width="10.140625" style="29" customWidth="1"/>
    <col min="3334" max="3334" width="13" style="29" customWidth="1"/>
    <col min="3335" max="3335" width="126.7109375" style="29" customWidth="1"/>
    <col min="3336" max="3586" width="9.140625" style="29"/>
    <col min="3587" max="3587" width="18.28515625" style="29" customWidth="1"/>
    <col min="3588" max="3588" width="54" style="29" customWidth="1"/>
    <col min="3589" max="3589" width="10.140625" style="29" customWidth="1"/>
    <col min="3590" max="3590" width="13" style="29" customWidth="1"/>
    <col min="3591" max="3591" width="126.7109375" style="29" customWidth="1"/>
    <col min="3592" max="3842" width="9.140625" style="29"/>
    <col min="3843" max="3843" width="18.28515625" style="29" customWidth="1"/>
    <col min="3844" max="3844" width="54" style="29" customWidth="1"/>
    <col min="3845" max="3845" width="10.140625" style="29" customWidth="1"/>
    <col min="3846" max="3846" width="13" style="29" customWidth="1"/>
    <col min="3847" max="3847" width="126.7109375" style="29" customWidth="1"/>
    <col min="3848" max="4098" width="9.140625" style="29"/>
    <col min="4099" max="4099" width="18.28515625" style="29" customWidth="1"/>
    <col min="4100" max="4100" width="54" style="29" customWidth="1"/>
    <col min="4101" max="4101" width="10.140625" style="29" customWidth="1"/>
    <col min="4102" max="4102" width="13" style="29" customWidth="1"/>
    <col min="4103" max="4103" width="126.7109375" style="29" customWidth="1"/>
    <col min="4104" max="4354" width="9.140625" style="29"/>
    <col min="4355" max="4355" width="18.28515625" style="29" customWidth="1"/>
    <col min="4356" max="4356" width="54" style="29" customWidth="1"/>
    <col min="4357" max="4357" width="10.140625" style="29" customWidth="1"/>
    <col min="4358" max="4358" width="13" style="29" customWidth="1"/>
    <col min="4359" max="4359" width="126.7109375" style="29" customWidth="1"/>
    <col min="4360" max="4610" width="9.140625" style="29"/>
    <col min="4611" max="4611" width="18.28515625" style="29" customWidth="1"/>
    <col min="4612" max="4612" width="54" style="29" customWidth="1"/>
    <col min="4613" max="4613" width="10.140625" style="29" customWidth="1"/>
    <col min="4614" max="4614" width="13" style="29" customWidth="1"/>
    <col min="4615" max="4615" width="126.7109375" style="29" customWidth="1"/>
    <col min="4616" max="4866" width="9.140625" style="29"/>
    <col min="4867" max="4867" width="18.28515625" style="29" customWidth="1"/>
    <col min="4868" max="4868" width="54" style="29" customWidth="1"/>
    <col min="4869" max="4869" width="10.140625" style="29" customWidth="1"/>
    <col min="4870" max="4870" width="13" style="29" customWidth="1"/>
    <col min="4871" max="4871" width="126.7109375" style="29" customWidth="1"/>
    <col min="4872" max="5122" width="9.140625" style="29"/>
    <col min="5123" max="5123" width="18.28515625" style="29" customWidth="1"/>
    <col min="5124" max="5124" width="54" style="29" customWidth="1"/>
    <col min="5125" max="5125" width="10.140625" style="29" customWidth="1"/>
    <col min="5126" max="5126" width="13" style="29" customWidth="1"/>
    <col min="5127" max="5127" width="126.7109375" style="29" customWidth="1"/>
    <col min="5128" max="5378" width="9.140625" style="29"/>
    <col min="5379" max="5379" width="18.28515625" style="29" customWidth="1"/>
    <col min="5380" max="5380" width="54" style="29" customWidth="1"/>
    <col min="5381" max="5381" width="10.140625" style="29" customWidth="1"/>
    <col min="5382" max="5382" width="13" style="29" customWidth="1"/>
    <col min="5383" max="5383" width="126.7109375" style="29" customWidth="1"/>
    <col min="5384" max="5634" width="9.140625" style="29"/>
    <col min="5635" max="5635" width="18.28515625" style="29" customWidth="1"/>
    <col min="5636" max="5636" width="54" style="29" customWidth="1"/>
    <col min="5637" max="5637" width="10.140625" style="29" customWidth="1"/>
    <col min="5638" max="5638" width="13" style="29" customWidth="1"/>
    <col min="5639" max="5639" width="126.7109375" style="29" customWidth="1"/>
    <col min="5640" max="5890" width="9.140625" style="29"/>
    <col min="5891" max="5891" width="18.28515625" style="29" customWidth="1"/>
    <col min="5892" max="5892" width="54" style="29" customWidth="1"/>
    <col min="5893" max="5893" width="10.140625" style="29" customWidth="1"/>
    <col min="5894" max="5894" width="13" style="29" customWidth="1"/>
    <col min="5895" max="5895" width="126.7109375" style="29" customWidth="1"/>
    <col min="5896" max="6146" width="9.140625" style="29"/>
    <col min="6147" max="6147" width="18.28515625" style="29" customWidth="1"/>
    <col min="6148" max="6148" width="54" style="29" customWidth="1"/>
    <col min="6149" max="6149" width="10.140625" style="29" customWidth="1"/>
    <col min="6150" max="6150" width="13" style="29" customWidth="1"/>
    <col min="6151" max="6151" width="126.7109375" style="29" customWidth="1"/>
    <col min="6152" max="6402" width="9.140625" style="29"/>
    <col min="6403" max="6403" width="18.28515625" style="29" customWidth="1"/>
    <col min="6404" max="6404" width="54" style="29" customWidth="1"/>
    <col min="6405" max="6405" width="10.140625" style="29" customWidth="1"/>
    <col min="6406" max="6406" width="13" style="29" customWidth="1"/>
    <col min="6407" max="6407" width="126.7109375" style="29" customWidth="1"/>
    <col min="6408" max="6658" width="9.140625" style="29"/>
    <col min="6659" max="6659" width="18.28515625" style="29" customWidth="1"/>
    <col min="6660" max="6660" width="54" style="29" customWidth="1"/>
    <col min="6661" max="6661" width="10.140625" style="29" customWidth="1"/>
    <col min="6662" max="6662" width="13" style="29" customWidth="1"/>
    <col min="6663" max="6663" width="126.7109375" style="29" customWidth="1"/>
    <col min="6664" max="6914" width="9.140625" style="29"/>
    <col min="6915" max="6915" width="18.28515625" style="29" customWidth="1"/>
    <col min="6916" max="6916" width="54" style="29" customWidth="1"/>
    <col min="6917" max="6917" width="10.140625" style="29" customWidth="1"/>
    <col min="6918" max="6918" width="13" style="29" customWidth="1"/>
    <col min="6919" max="6919" width="126.7109375" style="29" customWidth="1"/>
    <col min="6920" max="7170" width="9.140625" style="29"/>
    <col min="7171" max="7171" width="18.28515625" style="29" customWidth="1"/>
    <col min="7172" max="7172" width="54" style="29" customWidth="1"/>
    <col min="7173" max="7173" width="10.140625" style="29" customWidth="1"/>
    <col min="7174" max="7174" width="13" style="29" customWidth="1"/>
    <col min="7175" max="7175" width="126.7109375" style="29" customWidth="1"/>
    <col min="7176" max="7426" width="9.140625" style="29"/>
    <col min="7427" max="7427" width="18.28515625" style="29" customWidth="1"/>
    <col min="7428" max="7428" width="54" style="29" customWidth="1"/>
    <col min="7429" max="7429" width="10.140625" style="29" customWidth="1"/>
    <col min="7430" max="7430" width="13" style="29" customWidth="1"/>
    <col min="7431" max="7431" width="126.7109375" style="29" customWidth="1"/>
    <col min="7432" max="7682" width="9.140625" style="29"/>
    <col min="7683" max="7683" width="18.28515625" style="29" customWidth="1"/>
    <col min="7684" max="7684" width="54" style="29" customWidth="1"/>
    <col min="7685" max="7685" width="10.140625" style="29" customWidth="1"/>
    <col min="7686" max="7686" width="13" style="29" customWidth="1"/>
    <col min="7687" max="7687" width="126.7109375" style="29" customWidth="1"/>
    <col min="7688" max="7938" width="9.140625" style="29"/>
    <col min="7939" max="7939" width="18.28515625" style="29" customWidth="1"/>
    <col min="7940" max="7940" width="54" style="29" customWidth="1"/>
    <col min="7941" max="7941" width="10.140625" style="29" customWidth="1"/>
    <col min="7942" max="7942" width="13" style="29" customWidth="1"/>
    <col min="7943" max="7943" width="126.7109375" style="29" customWidth="1"/>
    <col min="7944" max="8194" width="9.140625" style="29"/>
    <col min="8195" max="8195" width="18.28515625" style="29" customWidth="1"/>
    <col min="8196" max="8196" width="54" style="29" customWidth="1"/>
    <col min="8197" max="8197" width="10.140625" style="29" customWidth="1"/>
    <col min="8198" max="8198" width="13" style="29" customWidth="1"/>
    <col min="8199" max="8199" width="126.7109375" style="29" customWidth="1"/>
    <col min="8200" max="8450" width="9.140625" style="29"/>
    <col min="8451" max="8451" width="18.28515625" style="29" customWidth="1"/>
    <col min="8452" max="8452" width="54" style="29" customWidth="1"/>
    <col min="8453" max="8453" width="10.140625" style="29" customWidth="1"/>
    <col min="8454" max="8454" width="13" style="29" customWidth="1"/>
    <col min="8455" max="8455" width="126.7109375" style="29" customWidth="1"/>
    <col min="8456" max="8706" width="9.140625" style="29"/>
    <col min="8707" max="8707" width="18.28515625" style="29" customWidth="1"/>
    <col min="8708" max="8708" width="54" style="29" customWidth="1"/>
    <col min="8709" max="8709" width="10.140625" style="29" customWidth="1"/>
    <col min="8710" max="8710" width="13" style="29" customWidth="1"/>
    <col min="8711" max="8711" width="126.7109375" style="29" customWidth="1"/>
    <col min="8712" max="8962" width="9.140625" style="29"/>
    <col min="8963" max="8963" width="18.28515625" style="29" customWidth="1"/>
    <col min="8964" max="8964" width="54" style="29" customWidth="1"/>
    <col min="8965" max="8965" width="10.140625" style="29" customWidth="1"/>
    <col min="8966" max="8966" width="13" style="29" customWidth="1"/>
    <col min="8967" max="8967" width="126.7109375" style="29" customWidth="1"/>
    <col min="8968" max="9218" width="9.140625" style="29"/>
    <col min="9219" max="9219" width="18.28515625" style="29" customWidth="1"/>
    <col min="9220" max="9220" width="54" style="29" customWidth="1"/>
    <col min="9221" max="9221" width="10.140625" style="29" customWidth="1"/>
    <col min="9222" max="9222" width="13" style="29" customWidth="1"/>
    <col min="9223" max="9223" width="126.7109375" style="29" customWidth="1"/>
    <col min="9224" max="9474" width="9.140625" style="29"/>
    <col min="9475" max="9475" width="18.28515625" style="29" customWidth="1"/>
    <col min="9476" max="9476" width="54" style="29" customWidth="1"/>
    <col min="9477" max="9477" width="10.140625" style="29" customWidth="1"/>
    <col min="9478" max="9478" width="13" style="29" customWidth="1"/>
    <col min="9479" max="9479" width="126.7109375" style="29" customWidth="1"/>
    <col min="9480" max="9730" width="9.140625" style="29"/>
    <col min="9731" max="9731" width="18.28515625" style="29" customWidth="1"/>
    <col min="9732" max="9732" width="54" style="29" customWidth="1"/>
    <col min="9733" max="9733" width="10.140625" style="29" customWidth="1"/>
    <col min="9734" max="9734" width="13" style="29" customWidth="1"/>
    <col min="9735" max="9735" width="126.7109375" style="29" customWidth="1"/>
    <col min="9736" max="9986" width="9.140625" style="29"/>
    <col min="9987" max="9987" width="18.28515625" style="29" customWidth="1"/>
    <col min="9988" max="9988" width="54" style="29" customWidth="1"/>
    <col min="9989" max="9989" width="10.140625" style="29" customWidth="1"/>
    <col min="9990" max="9990" width="13" style="29" customWidth="1"/>
    <col min="9991" max="9991" width="126.7109375" style="29" customWidth="1"/>
    <col min="9992" max="10242" width="9.140625" style="29"/>
    <col min="10243" max="10243" width="18.28515625" style="29" customWidth="1"/>
    <col min="10244" max="10244" width="54" style="29" customWidth="1"/>
    <col min="10245" max="10245" width="10.140625" style="29" customWidth="1"/>
    <col min="10246" max="10246" width="13" style="29" customWidth="1"/>
    <col min="10247" max="10247" width="126.7109375" style="29" customWidth="1"/>
    <col min="10248" max="10498" width="9.140625" style="29"/>
    <col min="10499" max="10499" width="18.28515625" style="29" customWidth="1"/>
    <col min="10500" max="10500" width="54" style="29" customWidth="1"/>
    <col min="10501" max="10501" width="10.140625" style="29" customWidth="1"/>
    <col min="10502" max="10502" width="13" style="29" customWidth="1"/>
    <col min="10503" max="10503" width="126.7109375" style="29" customWidth="1"/>
    <col min="10504" max="10754" width="9.140625" style="29"/>
    <col min="10755" max="10755" width="18.28515625" style="29" customWidth="1"/>
    <col min="10756" max="10756" width="54" style="29" customWidth="1"/>
    <col min="10757" max="10757" width="10.140625" style="29" customWidth="1"/>
    <col min="10758" max="10758" width="13" style="29" customWidth="1"/>
    <col min="10759" max="10759" width="126.7109375" style="29" customWidth="1"/>
    <col min="10760" max="11010" width="9.140625" style="29"/>
    <col min="11011" max="11011" width="18.28515625" style="29" customWidth="1"/>
    <col min="11012" max="11012" width="54" style="29" customWidth="1"/>
    <col min="11013" max="11013" width="10.140625" style="29" customWidth="1"/>
    <col min="11014" max="11014" width="13" style="29" customWidth="1"/>
    <col min="11015" max="11015" width="126.7109375" style="29" customWidth="1"/>
    <col min="11016" max="11266" width="9.140625" style="29"/>
    <col min="11267" max="11267" width="18.28515625" style="29" customWidth="1"/>
    <col min="11268" max="11268" width="54" style="29" customWidth="1"/>
    <col min="11269" max="11269" width="10.140625" style="29" customWidth="1"/>
    <col min="11270" max="11270" width="13" style="29" customWidth="1"/>
    <col min="11271" max="11271" width="126.7109375" style="29" customWidth="1"/>
    <col min="11272" max="11522" width="9.140625" style="29"/>
    <col min="11523" max="11523" width="18.28515625" style="29" customWidth="1"/>
    <col min="11524" max="11524" width="54" style="29" customWidth="1"/>
    <col min="11525" max="11525" width="10.140625" style="29" customWidth="1"/>
    <col min="11526" max="11526" width="13" style="29" customWidth="1"/>
    <col min="11527" max="11527" width="126.7109375" style="29" customWidth="1"/>
    <col min="11528" max="11778" width="9.140625" style="29"/>
    <col min="11779" max="11779" width="18.28515625" style="29" customWidth="1"/>
    <col min="11780" max="11780" width="54" style="29" customWidth="1"/>
    <col min="11781" max="11781" width="10.140625" style="29" customWidth="1"/>
    <col min="11782" max="11782" width="13" style="29" customWidth="1"/>
    <col min="11783" max="11783" width="126.7109375" style="29" customWidth="1"/>
    <col min="11784" max="12034" width="9.140625" style="29"/>
    <col min="12035" max="12035" width="18.28515625" style="29" customWidth="1"/>
    <col min="12036" max="12036" width="54" style="29" customWidth="1"/>
    <col min="12037" max="12037" width="10.140625" style="29" customWidth="1"/>
    <col min="12038" max="12038" width="13" style="29" customWidth="1"/>
    <col min="12039" max="12039" width="126.7109375" style="29" customWidth="1"/>
    <col min="12040" max="12290" width="9.140625" style="29"/>
    <col min="12291" max="12291" width="18.28515625" style="29" customWidth="1"/>
    <col min="12292" max="12292" width="54" style="29" customWidth="1"/>
    <col min="12293" max="12293" width="10.140625" style="29" customWidth="1"/>
    <col min="12294" max="12294" width="13" style="29" customWidth="1"/>
    <col min="12295" max="12295" width="126.7109375" style="29" customWidth="1"/>
    <col min="12296" max="12546" width="9.140625" style="29"/>
    <col min="12547" max="12547" width="18.28515625" style="29" customWidth="1"/>
    <col min="12548" max="12548" width="54" style="29" customWidth="1"/>
    <col min="12549" max="12549" width="10.140625" style="29" customWidth="1"/>
    <col min="12550" max="12550" width="13" style="29" customWidth="1"/>
    <col min="12551" max="12551" width="126.7109375" style="29" customWidth="1"/>
    <col min="12552" max="12802" width="9.140625" style="29"/>
    <col min="12803" max="12803" width="18.28515625" style="29" customWidth="1"/>
    <col min="12804" max="12804" width="54" style="29" customWidth="1"/>
    <col min="12805" max="12805" width="10.140625" style="29" customWidth="1"/>
    <col min="12806" max="12806" width="13" style="29" customWidth="1"/>
    <col min="12807" max="12807" width="126.7109375" style="29" customWidth="1"/>
    <col min="12808" max="13058" width="9.140625" style="29"/>
    <col min="13059" max="13059" width="18.28515625" style="29" customWidth="1"/>
    <col min="13060" max="13060" width="54" style="29" customWidth="1"/>
    <col min="13061" max="13061" width="10.140625" style="29" customWidth="1"/>
    <col min="13062" max="13062" width="13" style="29" customWidth="1"/>
    <col min="13063" max="13063" width="126.7109375" style="29" customWidth="1"/>
    <col min="13064" max="13314" width="9.140625" style="29"/>
    <col min="13315" max="13315" width="18.28515625" style="29" customWidth="1"/>
    <col min="13316" max="13316" width="54" style="29" customWidth="1"/>
    <col min="13317" max="13317" width="10.140625" style="29" customWidth="1"/>
    <col min="13318" max="13318" width="13" style="29" customWidth="1"/>
    <col min="13319" max="13319" width="126.7109375" style="29" customWidth="1"/>
    <col min="13320" max="13570" width="9.140625" style="29"/>
    <col min="13571" max="13571" width="18.28515625" style="29" customWidth="1"/>
    <col min="13572" max="13572" width="54" style="29" customWidth="1"/>
    <col min="13573" max="13573" width="10.140625" style="29" customWidth="1"/>
    <col min="13574" max="13574" width="13" style="29" customWidth="1"/>
    <col min="13575" max="13575" width="126.7109375" style="29" customWidth="1"/>
    <col min="13576" max="13826" width="9.140625" style="29"/>
    <col min="13827" max="13827" width="18.28515625" style="29" customWidth="1"/>
    <col min="13828" max="13828" width="54" style="29" customWidth="1"/>
    <col min="13829" max="13829" width="10.140625" style="29" customWidth="1"/>
    <col min="13830" max="13830" width="13" style="29" customWidth="1"/>
    <col min="13831" max="13831" width="126.7109375" style="29" customWidth="1"/>
    <col min="13832" max="14082" width="9.140625" style="29"/>
    <col min="14083" max="14083" width="18.28515625" style="29" customWidth="1"/>
    <col min="14084" max="14084" width="54" style="29" customWidth="1"/>
    <col min="14085" max="14085" width="10.140625" style="29" customWidth="1"/>
    <col min="14086" max="14086" width="13" style="29" customWidth="1"/>
    <col min="14087" max="14087" width="126.7109375" style="29" customWidth="1"/>
    <col min="14088" max="14338" width="9.140625" style="29"/>
    <col min="14339" max="14339" width="18.28515625" style="29" customWidth="1"/>
    <col min="14340" max="14340" width="54" style="29" customWidth="1"/>
    <col min="14341" max="14341" width="10.140625" style="29" customWidth="1"/>
    <col min="14342" max="14342" width="13" style="29" customWidth="1"/>
    <col min="14343" max="14343" width="126.7109375" style="29" customWidth="1"/>
    <col min="14344" max="14594" width="9.140625" style="29"/>
    <col min="14595" max="14595" width="18.28515625" style="29" customWidth="1"/>
    <col min="14596" max="14596" width="54" style="29" customWidth="1"/>
    <col min="14597" max="14597" width="10.140625" style="29" customWidth="1"/>
    <col min="14598" max="14598" width="13" style="29" customWidth="1"/>
    <col min="14599" max="14599" width="126.7109375" style="29" customWidth="1"/>
    <col min="14600" max="14850" width="9.140625" style="29"/>
    <col min="14851" max="14851" width="18.28515625" style="29" customWidth="1"/>
    <col min="14852" max="14852" width="54" style="29" customWidth="1"/>
    <col min="14853" max="14853" width="10.140625" style="29" customWidth="1"/>
    <col min="14854" max="14854" width="13" style="29" customWidth="1"/>
    <col min="14855" max="14855" width="126.7109375" style="29" customWidth="1"/>
    <col min="14856" max="15106" width="9.140625" style="29"/>
    <col min="15107" max="15107" width="18.28515625" style="29" customWidth="1"/>
    <col min="15108" max="15108" width="54" style="29" customWidth="1"/>
    <col min="15109" max="15109" width="10.140625" style="29" customWidth="1"/>
    <col min="15110" max="15110" width="13" style="29" customWidth="1"/>
    <col min="15111" max="15111" width="126.7109375" style="29" customWidth="1"/>
    <col min="15112" max="15362" width="9.140625" style="29"/>
    <col min="15363" max="15363" width="18.28515625" style="29" customWidth="1"/>
    <col min="15364" max="15364" width="54" style="29" customWidth="1"/>
    <col min="15365" max="15365" width="10.140625" style="29" customWidth="1"/>
    <col min="15366" max="15366" width="13" style="29" customWidth="1"/>
    <col min="15367" max="15367" width="126.7109375" style="29" customWidth="1"/>
    <col min="15368" max="15618" width="9.140625" style="29"/>
    <col min="15619" max="15619" width="18.28515625" style="29" customWidth="1"/>
    <col min="15620" max="15620" width="54" style="29" customWidth="1"/>
    <col min="15621" max="15621" width="10.140625" style="29" customWidth="1"/>
    <col min="15622" max="15622" width="13" style="29" customWidth="1"/>
    <col min="15623" max="15623" width="126.7109375" style="29" customWidth="1"/>
    <col min="15624" max="15874" width="9.140625" style="29"/>
    <col min="15875" max="15875" width="18.28515625" style="29" customWidth="1"/>
    <col min="15876" max="15876" width="54" style="29" customWidth="1"/>
    <col min="15877" max="15877" width="10.140625" style="29" customWidth="1"/>
    <col min="15878" max="15878" width="13" style="29" customWidth="1"/>
    <col min="15879" max="15879" width="126.7109375" style="29" customWidth="1"/>
    <col min="15880" max="16130" width="9.140625" style="29"/>
    <col min="16131" max="16131" width="18.28515625" style="29" customWidth="1"/>
    <col min="16132" max="16132" width="54" style="29" customWidth="1"/>
    <col min="16133" max="16133" width="10.140625" style="29" customWidth="1"/>
    <col min="16134" max="16134" width="13" style="29" customWidth="1"/>
    <col min="16135" max="16135" width="126.7109375" style="29" customWidth="1"/>
    <col min="16136" max="16384" width="9.140625" style="29"/>
  </cols>
  <sheetData>
    <row r="1" spans="1:7" x14ac:dyDescent="0.25">
      <c r="A1" s="141" t="s">
        <v>333</v>
      </c>
      <c r="B1" s="141"/>
      <c r="C1" s="141"/>
      <c r="D1" s="141"/>
      <c r="E1" s="141"/>
      <c r="F1" s="141"/>
      <c r="G1" s="141"/>
    </row>
    <row r="2" spans="1:7" s="10" customFormat="1" ht="40.5" customHeight="1" x14ac:dyDescent="0.25">
      <c r="A2" s="38" t="s">
        <v>0</v>
      </c>
      <c r="B2" s="38" t="s">
        <v>1</v>
      </c>
      <c r="C2" s="141" t="s">
        <v>2</v>
      </c>
      <c r="D2" s="141"/>
      <c r="E2" s="38" t="s">
        <v>3</v>
      </c>
      <c r="F2" s="38" t="s">
        <v>4</v>
      </c>
      <c r="G2" s="17" t="s">
        <v>5</v>
      </c>
    </row>
    <row r="3" spans="1:7" ht="242.25" x14ac:dyDescent="0.25">
      <c r="A3" s="21" t="s">
        <v>339</v>
      </c>
      <c r="B3" s="33" t="s">
        <v>359</v>
      </c>
      <c r="C3" s="15"/>
      <c r="D3" s="15"/>
      <c r="E3" s="15"/>
      <c r="F3" s="15"/>
      <c r="G3" s="65" t="s">
        <v>360</v>
      </c>
    </row>
    <row r="4" spans="1:7" x14ac:dyDescent="0.25">
      <c r="A4" s="21" t="s">
        <v>157</v>
      </c>
      <c r="B4" s="33" t="s">
        <v>340</v>
      </c>
      <c r="C4" s="21">
        <v>10</v>
      </c>
      <c r="D4" s="15"/>
      <c r="E4" s="15"/>
      <c r="F4" s="15"/>
      <c r="G4" s="65"/>
    </row>
    <row r="5" spans="1:7" ht="175.5" customHeight="1" x14ac:dyDescent="0.25">
      <c r="A5" s="39" t="s">
        <v>158</v>
      </c>
      <c r="B5" s="58" t="s">
        <v>341</v>
      </c>
      <c r="C5" s="20"/>
      <c r="D5" s="39">
        <v>5</v>
      </c>
      <c r="E5" s="39"/>
      <c r="F5" s="39"/>
      <c r="G5" s="163" t="s">
        <v>559</v>
      </c>
    </row>
    <row r="6" spans="1:7" ht="175.5" customHeight="1" x14ac:dyDescent="0.25">
      <c r="A6" s="39" t="s">
        <v>159</v>
      </c>
      <c r="B6" s="58" t="s">
        <v>342</v>
      </c>
      <c r="C6" s="20"/>
      <c r="D6" s="39">
        <v>5</v>
      </c>
      <c r="E6" s="39"/>
      <c r="F6" s="39"/>
      <c r="G6" s="163"/>
    </row>
    <row r="7" spans="1:7" x14ac:dyDescent="0.25">
      <c r="A7" s="21" t="s">
        <v>160</v>
      </c>
      <c r="B7" s="33" t="s">
        <v>161</v>
      </c>
      <c r="C7" s="21">
        <v>10</v>
      </c>
      <c r="D7" s="15"/>
      <c r="E7" s="15"/>
      <c r="F7" s="15"/>
      <c r="G7" s="65"/>
    </row>
    <row r="8" spans="1:7" ht="38.25" x14ac:dyDescent="0.25">
      <c r="A8" s="39" t="s">
        <v>162</v>
      </c>
      <c r="B8" s="58" t="s">
        <v>214</v>
      </c>
      <c r="C8" s="20"/>
      <c r="D8" s="39">
        <v>5</v>
      </c>
      <c r="E8" s="39"/>
      <c r="F8" s="39"/>
      <c r="G8" s="19" t="s">
        <v>560</v>
      </c>
    </row>
    <row r="9" spans="1:7" ht="69.75" customHeight="1" x14ac:dyDescent="0.25">
      <c r="A9" s="39" t="s">
        <v>163</v>
      </c>
      <c r="B9" s="58" t="s">
        <v>361</v>
      </c>
      <c r="C9" s="20"/>
      <c r="D9" s="39">
        <v>5</v>
      </c>
      <c r="E9" s="39"/>
      <c r="F9" s="39"/>
      <c r="G9" s="19" t="s">
        <v>362</v>
      </c>
    </row>
    <row r="10" spans="1:7" s="67" customFormat="1" x14ac:dyDescent="0.25">
      <c r="A10" s="21" t="s">
        <v>164</v>
      </c>
      <c r="B10" s="33" t="s">
        <v>165</v>
      </c>
      <c r="C10" s="21">
        <v>10</v>
      </c>
      <c r="D10" s="21"/>
      <c r="E10" s="21"/>
      <c r="F10" s="21"/>
      <c r="G10" s="33"/>
    </row>
    <row r="11" spans="1:7" ht="48" customHeight="1" x14ac:dyDescent="0.25">
      <c r="A11" s="39" t="s">
        <v>166</v>
      </c>
      <c r="B11" s="58" t="s">
        <v>363</v>
      </c>
      <c r="C11" s="20"/>
      <c r="D11" s="39">
        <v>5</v>
      </c>
      <c r="E11" s="39"/>
      <c r="F11" s="39"/>
      <c r="G11" s="159" t="s">
        <v>364</v>
      </c>
    </row>
    <row r="12" spans="1:7" ht="48" customHeight="1" x14ac:dyDescent="0.25">
      <c r="A12" s="39" t="s">
        <v>167</v>
      </c>
      <c r="B12" s="58" t="s">
        <v>168</v>
      </c>
      <c r="C12" s="20"/>
      <c r="D12" s="39">
        <v>5</v>
      </c>
      <c r="E12" s="39"/>
      <c r="F12" s="39"/>
      <c r="G12" s="159"/>
    </row>
    <row r="13" spans="1:7" s="67" customFormat="1" x14ac:dyDescent="0.25">
      <c r="A13" s="21" t="s">
        <v>343</v>
      </c>
      <c r="B13" s="33" t="s">
        <v>169</v>
      </c>
      <c r="C13" s="21">
        <v>25</v>
      </c>
      <c r="D13" s="21"/>
      <c r="E13" s="21"/>
      <c r="F13" s="21"/>
      <c r="G13" s="33"/>
    </row>
    <row r="14" spans="1:7" ht="13.5" customHeight="1" x14ac:dyDescent="0.25">
      <c r="A14" s="141" t="s">
        <v>82</v>
      </c>
      <c r="B14" s="72" t="s">
        <v>345</v>
      </c>
      <c r="C14" s="51"/>
      <c r="D14" s="73">
        <v>25</v>
      </c>
      <c r="E14" s="73"/>
      <c r="F14" s="73"/>
      <c r="G14" s="74" t="s">
        <v>347</v>
      </c>
    </row>
    <row r="15" spans="1:7" ht="12.75" customHeight="1" x14ac:dyDescent="0.25">
      <c r="A15" s="141"/>
      <c r="B15" s="60" t="s">
        <v>406</v>
      </c>
      <c r="C15" s="23"/>
      <c r="D15" s="42">
        <v>5</v>
      </c>
      <c r="E15" s="42"/>
      <c r="F15" s="42"/>
      <c r="G15" s="145" t="s">
        <v>357</v>
      </c>
    </row>
    <row r="16" spans="1:7" x14ac:dyDescent="0.25">
      <c r="A16" s="141"/>
      <c r="B16" s="60" t="s">
        <v>407</v>
      </c>
      <c r="C16" s="23"/>
      <c r="D16" s="42">
        <v>10</v>
      </c>
      <c r="E16" s="42"/>
      <c r="F16" s="42"/>
      <c r="G16" s="145"/>
    </row>
    <row r="17" spans="1:7" x14ac:dyDescent="0.25">
      <c r="A17" s="141"/>
      <c r="B17" s="60" t="s">
        <v>408</v>
      </c>
      <c r="C17" s="23"/>
      <c r="D17" s="42">
        <v>15</v>
      </c>
      <c r="E17" s="42"/>
      <c r="F17" s="42"/>
      <c r="G17" s="145"/>
    </row>
    <row r="18" spans="1:7" x14ac:dyDescent="0.25">
      <c r="A18" s="141"/>
      <c r="B18" s="60" t="s">
        <v>409</v>
      </c>
      <c r="C18" s="23"/>
      <c r="D18" s="42">
        <v>20</v>
      </c>
      <c r="E18" s="42"/>
      <c r="F18" s="42"/>
      <c r="G18" s="145"/>
    </row>
    <row r="19" spans="1:7" x14ac:dyDescent="0.25">
      <c r="A19" s="141"/>
      <c r="B19" s="60" t="s">
        <v>336</v>
      </c>
      <c r="C19" s="23"/>
      <c r="D19" s="42">
        <v>25</v>
      </c>
      <c r="E19" s="42"/>
      <c r="F19" s="42"/>
      <c r="G19" s="145"/>
    </row>
    <row r="20" spans="1:7" ht="12.75" customHeight="1" x14ac:dyDescent="0.25">
      <c r="A20" s="141" t="s">
        <v>83</v>
      </c>
      <c r="B20" s="72" t="s">
        <v>346</v>
      </c>
      <c r="C20" s="51"/>
      <c r="D20" s="73"/>
      <c r="E20" s="73"/>
      <c r="F20" s="73"/>
      <c r="G20" s="74" t="s">
        <v>347</v>
      </c>
    </row>
    <row r="21" spans="1:7" x14ac:dyDescent="0.25">
      <c r="A21" s="141"/>
      <c r="B21" s="60" t="s">
        <v>334</v>
      </c>
      <c r="C21" s="23"/>
      <c r="D21" s="42">
        <v>5</v>
      </c>
      <c r="E21" s="42"/>
      <c r="F21" s="42"/>
      <c r="G21" s="145" t="s">
        <v>357</v>
      </c>
    </row>
    <row r="22" spans="1:7" x14ac:dyDescent="0.25">
      <c r="A22" s="141"/>
      <c r="B22" s="60" t="s">
        <v>335</v>
      </c>
      <c r="C22" s="23"/>
      <c r="D22" s="42">
        <v>10</v>
      </c>
      <c r="E22" s="42"/>
      <c r="F22" s="42"/>
      <c r="G22" s="145"/>
    </row>
    <row r="23" spans="1:7" x14ac:dyDescent="0.25">
      <c r="A23" s="141"/>
      <c r="B23" s="60" t="s">
        <v>336</v>
      </c>
      <c r="C23" s="23"/>
      <c r="D23" s="42">
        <v>15</v>
      </c>
      <c r="E23" s="42"/>
      <c r="F23" s="42"/>
      <c r="G23" s="145"/>
    </row>
    <row r="24" spans="1:7" x14ac:dyDescent="0.25">
      <c r="A24" s="141"/>
      <c r="B24" s="60" t="s">
        <v>337</v>
      </c>
      <c r="C24" s="23"/>
      <c r="D24" s="42">
        <v>20</v>
      </c>
      <c r="E24" s="42"/>
      <c r="F24" s="42"/>
      <c r="G24" s="145"/>
    </row>
    <row r="25" spans="1:7" x14ac:dyDescent="0.25">
      <c r="A25" s="141"/>
      <c r="B25" s="60" t="s">
        <v>338</v>
      </c>
      <c r="C25" s="23"/>
      <c r="D25" s="42">
        <v>25</v>
      </c>
      <c r="E25" s="42"/>
      <c r="F25" s="42"/>
      <c r="G25" s="145"/>
    </row>
    <row r="26" spans="1:7" ht="51" x14ac:dyDescent="0.25">
      <c r="A26" s="21" t="s">
        <v>344</v>
      </c>
      <c r="B26" s="33" t="s">
        <v>170</v>
      </c>
      <c r="C26" s="21">
        <v>25</v>
      </c>
      <c r="D26" s="15"/>
      <c r="E26" s="15"/>
      <c r="F26" s="15"/>
      <c r="G26" s="65" t="s">
        <v>358</v>
      </c>
    </row>
    <row r="27" spans="1:7" ht="25.5" x14ac:dyDescent="0.25">
      <c r="A27" s="141" t="s">
        <v>82</v>
      </c>
      <c r="B27" s="72" t="s">
        <v>345</v>
      </c>
      <c r="C27" s="51"/>
      <c r="D27" s="73">
        <v>25</v>
      </c>
      <c r="E27" s="73"/>
      <c r="F27" s="73"/>
      <c r="G27" s="74" t="s">
        <v>347</v>
      </c>
    </row>
    <row r="28" spans="1:7" x14ac:dyDescent="0.25">
      <c r="A28" s="141"/>
      <c r="B28" s="58" t="s">
        <v>171</v>
      </c>
      <c r="C28" s="20"/>
      <c r="D28" s="39">
        <v>5</v>
      </c>
      <c r="E28" s="39"/>
      <c r="F28" s="39"/>
      <c r="G28" s="145" t="s">
        <v>348</v>
      </c>
    </row>
    <row r="29" spans="1:7" x14ac:dyDescent="0.25">
      <c r="A29" s="141"/>
      <c r="B29" s="58" t="s">
        <v>172</v>
      </c>
      <c r="C29" s="20"/>
      <c r="D29" s="39">
        <v>10</v>
      </c>
      <c r="E29" s="39"/>
      <c r="F29" s="39"/>
      <c r="G29" s="145"/>
    </row>
    <row r="30" spans="1:7" x14ac:dyDescent="0.25">
      <c r="A30" s="141"/>
      <c r="B30" s="58" t="s">
        <v>173</v>
      </c>
      <c r="C30" s="20"/>
      <c r="D30" s="39">
        <v>15</v>
      </c>
      <c r="E30" s="39"/>
      <c r="F30" s="39"/>
      <c r="G30" s="145"/>
    </row>
    <row r="31" spans="1:7" x14ac:dyDescent="0.25">
      <c r="A31" s="141"/>
      <c r="B31" s="58" t="s">
        <v>174</v>
      </c>
      <c r="C31" s="20"/>
      <c r="D31" s="39">
        <v>20</v>
      </c>
      <c r="E31" s="39"/>
      <c r="F31" s="39"/>
      <c r="G31" s="145"/>
    </row>
    <row r="32" spans="1:7" x14ac:dyDescent="0.25">
      <c r="A32" s="141"/>
      <c r="B32" s="58" t="s">
        <v>175</v>
      </c>
      <c r="C32" s="20"/>
      <c r="D32" s="39">
        <v>25</v>
      </c>
      <c r="E32" s="39"/>
      <c r="F32" s="39"/>
      <c r="G32" s="145"/>
    </row>
    <row r="33" spans="1:7" ht="25.5" x14ac:dyDescent="0.25">
      <c r="A33" s="141" t="s">
        <v>83</v>
      </c>
      <c r="B33" s="72" t="s">
        <v>346</v>
      </c>
      <c r="C33" s="51"/>
      <c r="D33" s="73"/>
      <c r="E33" s="73"/>
      <c r="F33" s="73"/>
      <c r="G33" s="74" t="s">
        <v>347</v>
      </c>
    </row>
    <row r="34" spans="1:7" x14ac:dyDescent="0.25">
      <c r="A34" s="141"/>
      <c r="B34" s="58" t="s">
        <v>174</v>
      </c>
      <c r="C34" s="20"/>
      <c r="D34" s="39">
        <v>5</v>
      </c>
      <c r="E34" s="39"/>
      <c r="F34" s="39"/>
      <c r="G34" s="145" t="s">
        <v>349</v>
      </c>
    </row>
    <row r="35" spans="1:7" x14ac:dyDescent="0.25">
      <c r="A35" s="141"/>
      <c r="B35" s="58" t="s">
        <v>176</v>
      </c>
      <c r="C35" s="20"/>
      <c r="D35" s="39">
        <v>10</v>
      </c>
      <c r="E35" s="39"/>
      <c r="F35" s="39"/>
      <c r="G35" s="145"/>
    </row>
    <row r="36" spans="1:7" x14ac:dyDescent="0.25">
      <c r="A36" s="141"/>
      <c r="B36" s="58" t="s">
        <v>177</v>
      </c>
      <c r="C36" s="20"/>
      <c r="D36" s="39">
        <v>15</v>
      </c>
      <c r="E36" s="39"/>
      <c r="F36" s="39"/>
      <c r="G36" s="145"/>
    </row>
    <row r="37" spans="1:7" x14ac:dyDescent="0.25">
      <c r="A37" s="141"/>
      <c r="B37" s="58" t="s">
        <v>178</v>
      </c>
      <c r="C37" s="20"/>
      <c r="D37" s="39">
        <v>20</v>
      </c>
      <c r="E37" s="39"/>
      <c r="F37" s="39"/>
      <c r="G37" s="145"/>
    </row>
    <row r="38" spans="1:7" x14ac:dyDescent="0.25">
      <c r="A38" s="141"/>
      <c r="B38" s="58" t="s">
        <v>179</v>
      </c>
      <c r="C38" s="20"/>
      <c r="D38" s="39">
        <v>25</v>
      </c>
      <c r="E38" s="39"/>
      <c r="F38" s="39"/>
      <c r="G38" s="145"/>
    </row>
    <row r="39" spans="1:7" x14ac:dyDescent="0.25">
      <c r="A39" s="21" t="s">
        <v>350</v>
      </c>
      <c r="B39" s="33" t="s">
        <v>365</v>
      </c>
      <c r="C39" s="21">
        <v>20</v>
      </c>
      <c r="D39" s="15"/>
      <c r="E39" s="15"/>
      <c r="F39" s="15"/>
      <c r="G39" s="65"/>
    </row>
    <row r="40" spans="1:7" ht="76.5" x14ac:dyDescent="0.25">
      <c r="A40" s="39" t="s">
        <v>180</v>
      </c>
      <c r="B40" s="58" t="s">
        <v>365</v>
      </c>
      <c r="C40" s="20"/>
      <c r="D40" s="39">
        <v>5</v>
      </c>
      <c r="E40" s="39"/>
      <c r="F40" s="39"/>
      <c r="G40" s="58" t="s">
        <v>355</v>
      </c>
    </row>
    <row r="41" spans="1:7" x14ac:dyDescent="0.25">
      <c r="A41" s="142" t="s">
        <v>181</v>
      </c>
      <c r="B41" s="58" t="s">
        <v>351</v>
      </c>
      <c r="C41" s="20"/>
      <c r="D41" s="39">
        <v>5</v>
      </c>
      <c r="E41" s="39"/>
      <c r="F41" s="39"/>
      <c r="G41" s="145" t="s">
        <v>356</v>
      </c>
    </row>
    <row r="42" spans="1:7" x14ac:dyDescent="0.25">
      <c r="A42" s="142"/>
      <c r="B42" s="58" t="s">
        <v>352</v>
      </c>
      <c r="C42" s="20"/>
      <c r="D42" s="39"/>
      <c r="E42" s="39"/>
      <c r="F42" s="39"/>
      <c r="G42" s="145"/>
    </row>
    <row r="43" spans="1:7" x14ac:dyDescent="0.25">
      <c r="A43" s="142"/>
      <c r="B43" s="58" t="s">
        <v>353</v>
      </c>
      <c r="C43" s="20"/>
      <c r="D43" s="39">
        <v>10</v>
      </c>
      <c r="E43" s="39"/>
      <c r="F43" s="39"/>
      <c r="G43" s="145"/>
    </row>
    <row r="44" spans="1:7" x14ac:dyDescent="0.25">
      <c r="A44" s="142"/>
      <c r="B44" s="58" t="s">
        <v>354</v>
      </c>
      <c r="C44" s="20"/>
      <c r="D44" s="39">
        <v>15</v>
      </c>
      <c r="E44" s="39"/>
      <c r="F44" s="39"/>
      <c r="G44" s="145"/>
    </row>
    <row r="45" spans="1:7" x14ac:dyDescent="0.25">
      <c r="A45" s="15"/>
      <c r="B45" s="22" t="s">
        <v>51</v>
      </c>
      <c r="C45" s="22">
        <f>SUM(C3:C44)</f>
        <v>100</v>
      </c>
      <c r="D45" s="112"/>
      <c r="E45" s="112">
        <f>SUM(E3:E44)</f>
        <v>0</v>
      </c>
      <c r="F45" s="112">
        <f>SUM(F3:F44)</f>
        <v>0</v>
      </c>
      <c r="G45" s="15"/>
    </row>
    <row r="47" spans="1:7" x14ac:dyDescent="0.25">
      <c r="A47" s="75"/>
      <c r="B47" s="75"/>
    </row>
    <row r="48" spans="1:7" x14ac:dyDescent="0.25">
      <c r="A48" s="75"/>
      <c r="B48" s="75"/>
    </row>
    <row r="49" spans="1:2" x14ac:dyDescent="0.25">
      <c r="A49" s="75"/>
      <c r="B49" s="75"/>
    </row>
    <row r="50" spans="1:2" x14ac:dyDescent="0.25">
      <c r="A50" s="75"/>
      <c r="B50" s="75"/>
    </row>
    <row r="51" spans="1:2" x14ac:dyDescent="0.25">
      <c r="A51" s="75"/>
      <c r="B51" s="75"/>
    </row>
    <row r="52" spans="1:2" x14ac:dyDescent="0.25">
      <c r="A52" s="75"/>
      <c r="B52" s="75"/>
    </row>
    <row r="53" spans="1:2" x14ac:dyDescent="0.25">
      <c r="A53" s="75"/>
      <c r="B53" s="75"/>
    </row>
    <row r="54" spans="1:2" x14ac:dyDescent="0.25">
      <c r="A54" s="75"/>
      <c r="B54" s="75"/>
    </row>
    <row r="55" spans="1:2" x14ac:dyDescent="0.25">
      <c r="A55" s="75"/>
      <c r="B55" s="75"/>
    </row>
    <row r="56" spans="1:2" x14ac:dyDescent="0.25">
      <c r="A56" s="76"/>
      <c r="B56" s="75"/>
    </row>
  </sheetData>
  <mergeCells count="14">
    <mergeCell ref="A33:A38"/>
    <mergeCell ref="A41:A44"/>
    <mergeCell ref="A1:G1"/>
    <mergeCell ref="C2:D2"/>
    <mergeCell ref="G5:G6"/>
    <mergeCell ref="G11:G12"/>
    <mergeCell ref="G41:G44"/>
    <mergeCell ref="G28:G32"/>
    <mergeCell ref="G34:G38"/>
    <mergeCell ref="A27:A32"/>
    <mergeCell ref="A14:A19"/>
    <mergeCell ref="G15:G19"/>
    <mergeCell ref="A20:A25"/>
    <mergeCell ref="G21:G2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6"/>
  <sheetViews>
    <sheetView topLeftCell="A34" workbookViewId="0">
      <selection activeCell="G36" sqref="G36"/>
    </sheetView>
  </sheetViews>
  <sheetFormatPr defaultRowHeight="12.75" x14ac:dyDescent="0.25"/>
  <cols>
    <col min="1" max="1" width="15.42578125" style="76" customWidth="1"/>
    <col min="2" max="2" width="49.42578125" style="78" customWidth="1"/>
    <col min="3" max="3" width="9.7109375" style="76" customWidth="1"/>
    <col min="4" max="4" width="8.140625" style="76" customWidth="1"/>
    <col min="5" max="6" width="16.5703125" style="76" customWidth="1"/>
    <col min="7" max="7" width="64.85546875" style="90" customWidth="1"/>
    <col min="8" max="256" width="9.140625" style="78"/>
    <col min="257" max="257" width="22.28515625" style="78" customWidth="1"/>
    <col min="258" max="258" width="53.28515625" style="78" customWidth="1"/>
    <col min="259" max="259" width="10.7109375" style="78" customWidth="1"/>
    <col min="260" max="260" width="9.140625" style="78"/>
    <col min="261" max="262" width="0" style="78" hidden="1" customWidth="1"/>
    <col min="263" max="263" width="105.42578125" style="78" customWidth="1"/>
    <col min="264" max="512" width="9.140625" style="78"/>
    <col min="513" max="513" width="22.28515625" style="78" customWidth="1"/>
    <col min="514" max="514" width="53.28515625" style="78" customWidth="1"/>
    <col min="515" max="515" width="10.7109375" style="78" customWidth="1"/>
    <col min="516" max="516" width="9.140625" style="78"/>
    <col min="517" max="518" width="0" style="78" hidden="1" customWidth="1"/>
    <col min="519" max="519" width="105.42578125" style="78" customWidth="1"/>
    <col min="520" max="768" width="9.140625" style="78"/>
    <col min="769" max="769" width="22.28515625" style="78" customWidth="1"/>
    <col min="770" max="770" width="53.28515625" style="78" customWidth="1"/>
    <col min="771" max="771" width="10.7109375" style="78" customWidth="1"/>
    <col min="772" max="772" width="9.140625" style="78"/>
    <col min="773" max="774" width="0" style="78" hidden="1" customWidth="1"/>
    <col min="775" max="775" width="105.42578125" style="78" customWidth="1"/>
    <col min="776" max="1024" width="9.140625" style="78"/>
    <col min="1025" max="1025" width="22.28515625" style="78" customWidth="1"/>
    <col min="1026" max="1026" width="53.28515625" style="78" customWidth="1"/>
    <col min="1027" max="1027" width="10.7109375" style="78" customWidth="1"/>
    <col min="1028" max="1028" width="9.140625" style="78"/>
    <col min="1029" max="1030" width="0" style="78" hidden="1" customWidth="1"/>
    <col min="1031" max="1031" width="105.42578125" style="78" customWidth="1"/>
    <col min="1032" max="1280" width="9.140625" style="78"/>
    <col min="1281" max="1281" width="22.28515625" style="78" customWidth="1"/>
    <col min="1282" max="1282" width="53.28515625" style="78" customWidth="1"/>
    <col min="1283" max="1283" width="10.7109375" style="78" customWidth="1"/>
    <col min="1284" max="1284" width="9.140625" style="78"/>
    <col min="1285" max="1286" width="0" style="78" hidden="1" customWidth="1"/>
    <col min="1287" max="1287" width="105.42578125" style="78" customWidth="1"/>
    <col min="1288" max="1536" width="9.140625" style="78"/>
    <col min="1537" max="1537" width="22.28515625" style="78" customWidth="1"/>
    <col min="1538" max="1538" width="53.28515625" style="78" customWidth="1"/>
    <col min="1539" max="1539" width="10.7109375" style="78" customWidth="1"/>
    <col min="1540" max="1540" width="9.140625" style="78"/>
    <col min="1541" max="1542" width="0" style="78" hidden="1" customWidth="1"/>
    <col min="1543" max="1543" width="105.42578125" style="78" customWidth="1"/>
    <col min="1544" max="1792" width="9.140625" style="78"/>
    <col min="1793" max="1793" width="22.28515625" style="78" customWidth="1"/>
    <col min="1794" max="1794" width="53.28515625" style="78" customWidth="1"/>
    <col min="1795" max="1795" width="10.7109375" style="78" customWidth="1"/>
    <col min="1796" max="1796" width="9.140625" style="78"/>
    <col min="1797" max="1798" width="0" style="78" hidden="1" customWidth="1"/>
    <col min="1799" max="1799" width="105.42578125" style="78" customWidth="1"/>
    <col min="1800" max="2048" width="9.140625" style="78"/>
    <col min="2049" max="2049" width="22.28515625" style="78" customWidth="1"/>
    <col min="2050" max="2050" width="53.28515625" style="78" customWidth="1"/>
    <col min="2051" max="2051" width="10.7109375" style="78" customWidth="1"/>
    <col min="2052" max="2052" width="9.140625" style="78"/>
    <col min="2053" max="2054" width="0" style="78" hidden="1" customWidth="1"/>
    <col min="2055" max="2055" width="105.42578125" style="78" customWidth="1"/>
    <col min="2056" max="2304" width="9.140625" style="78"/>
    <col min="2305" max="2305" width="22.28515625" style="78" customWidth="1"/>
    <col min="2306" max="2306" width="53.28515625" style="78" customWidth="1"/>
    <col min="2307" max="2307" width="10.7109375" style="78" customWidth="1"/>
    <col min="2308" max="2308" width="9.140625" style="78"/>
    <col min="2309" max="2310" width="0" style="78" hidden="1" customWidth="1"/>
    <col min="2311" max="2311" width="105.42578125" style="78" customWidth="1"/>
    <col min="2312" max="2560" width="9.140625" style="78"/>
    <col min="2561" max="2561" width="22.28515625" style="78" customWidth="1"/>
    <col min="2562" max="2562" width="53.28515625" style="78" customWidth="1"/>
    <col min="2563" max="2563" width="10.7109375" style="78" customWidth="1"/>
    <col min="2564" max="2564" width="9.140625" style="78"/>
    <col min="2565" max="2566" width="0" style="78" hidden="1" customWidth="1"/>
    <col min="2567" max="2567" width="105.42578125" style="78" customWidth="1"/>
    <col min="2568" max="2816" width="9.140625" style="78"/>
    <col min="2817" max="2817" width="22.28515625" style="78" customWidth="1"/>
    <col min="2818" max="2818" width="53.28515625" style="78" customWidth="1"/>
    <col min="2819" max="2819" width="10.7109375" style="78" customWidth="1"/>
    <col min="2820" max="2820" width="9.140625" style="78"/>
    <col min="2821" max="2822" width="0" style="78" hidden="1" customWidth="1"/>
    <col min="2823" max="2823" width="105.42578125" style="78" customWidth="1"/>
    <col min="2824" max="3072" width="9.140625" style="78"/>
    <col min="3073" max="3073" width="22.28515625" style="78" customWidth="1"/>
    <col min="3074" max="3074" width="53.28515625" style="78" customWidth="1"/>
    <col min="3075" max="3075" width="10.7109375" style="78" customWidth="1"/>
    <col min="3076" max="3076" width="9.140625" style="78"/>
    <col min="3077" max="3078" width="0" style="78" hidden="1" customWidth="1"/>
    <col min="3079" max="3079" width="105.42578125" style="78" customWidth="1"/>
    <col min="3080" max="3328" width="9.140625" style="78"/>
    <col min="3329" max="3329" width="22.28515625" style="78" customWidth="1"/>
    <col min="3330" max="3330" width="53.28515625" style="78" customWidth="1"/>
    <col min="3331" max="3331" width="10.7109375" style="78" customWidth="1"/>
    <col min="3332" max="3332" width="9.140625" style="78"/>
    <col min="3333" max="3334" width="0" style="78" hidden="1" customWidth="1"/>
    <col min="3335" max="3335" width="105.42578125" style="78" customWidth="1"/>
    <col min="3336" max="3584" width="9.140625" style="78"/>
    <col min="3585" max="3585" width="22.28515625" style="78" customWidth="1"/>
    <col min="3586" max="3586" width="53.28515625" style="78" customWidth="1"/>
    <col min="3587" max="3587" width="10.7109375" style="78" customWidth="1"/>
    <col min="3588" max="3588" width="9.140625" style="78"/>
    <col min="3589" max="3590" width="0" style="78" hidden="1" customWidth="1"/>
    <col min="3591" max="3591" width="105.42578125" style="78" customWidth="1"/>
    <col min="3592" max="3840" width="9.140625" style="78"/>
    <col min="3841" max="3841" width="22.28515625" style="78" customWidth="1"/>
    <col min="3842" max="3842" width="53.28515625" style="78" customWidth="1"/>
    <col min="3843" max="3843" width="10.7109375" style="78" customWidth="1"/>
    <col min="3844" max="3844" width="9.140625" style="78"/>
    <col min="3845" max="3846" width="0" style="78" hidden="1" customWidth="1"/>
    <col min="3847" max="3847" width="105.42578125" style="78" customWidth="1"/>
    <col min="3848" max="4096" width="9.140625" style="78"/>
    <col min="4097" max="4097" width="22.28515625" style="78" customWidth="1"/>
    <col min="4098" max="4098" width="53.28515625" style="78" customWidth="1"/>
    <col min="4099" max="4099" width="10.7109375" style="78" customWidth="1"/>
    <col min="4100" max="4100" width="9.140625" style="78"/>
    <col min="4101" max="4102" width="0" style="78" hidden="1" customWidth="1"/>
    <col min="4103" max="4103" width="105.42578125" style="78" customWidth="1"/>
    <col min="4104" max="4352" width="9.140625" style="78"/>
    <col min="4353" max="4353" width="22.28515625" style="78" customWidth="1"/>
    <col min="4354" max="4354" width="53.28515625" style="78" customWidth="1"/>
    <col min="4355" max="4355" width="10.7109375" style="78" customWidth="1"/>
    <col min="4356" max="4356" width="9.140625" style="78"/>
    <col min="4357" max="4358" width="0" style="78" hidden="1" customWidth="1"/>
    <col min="4359" max="4359" width="105.42578125" style="78" customWidth="1"/>
    <col min="4360" max="4608" width="9.140625" style="78"/>
    <col min="4609" max="4609" width="22.28515625" style="78" customWidth="1"/>
    <col min="4610" max="4610" width="53.28515625" style="78" customWidth="1"/>
    <col min="4611" max="4611" width="10.7109375" style="78" customWidth="1"/>
    <col min="4612" max="4612" width="9.140625" style="78"/>
    <col min="4613" max="4614" width="0" style="78" hidden="1" customWidth="1"/>
    <col min="4615" max="4615" width="105.42578125" style="78" customWidth="1"/>
    <col min="4616" max="4864" width="9.140625" style="78"/>
    <col min="4865" max="4865" width="22.28515625" style="78" customWidth="1"/>
    <col min="4866" max="4866" width="53.28515625" style="78" customWidth="1"/>
    <col min="4867" max="4867" width="10.7109375" style="78" customWidth="1"/>
    <col min="4868" max="4868" width="9.140625" style="78"/>
    <col min="4869" max="4870" width="0" style="78" hidden="1" customWidth="1"/>
    <col min="4871" max="4871" width="105.42578125" style="78" customWidth="1"/>
    <col min="4872" max="5120" width="9.140625" style="78"/>
    <col min="5121" max="5121" width="22.28515625" style="78" customWidth="1"/>
    <col min="5122" max="5122" width="53.28515625" style="78" customWidth="1"/>
    <col min="5123" max="5123" width="10.7109375" style="78" customWidth="1"/>
    <col min="5124" max="5124" width="9.140625" style="78"/>
    <col min="5125" max="5126" width="0" style="78" hidden="1" customWidth="1"/>
    <col min="5127" max="5127" width="105.42578125" style="78" customWidth="1"/>
    <col min="5128" max="5376" width="9.140625" style="78"/>
    <col min="5377" max="5377" width="22.28515625" style="78" customWidth="1"/>
    <col min="5378" max="5378" width="53.28515625" style="78" customWidth="1"/>
    <col min="5379" max="5379" width="10.7109375" style="78" customWidth="1"/>
    <col min="5380" max="5380" width="9.140625" style="78"/>
    <col min="5381" max="5382" width="0" style="78" hidden="1" customWidth="1"/>
    <col min="5383" max="5383" width="105.42578125" style="78" customWidth="1"/>
    <col min="5384" max="5632" width="9.140625" style="78"/>
    <col min="5633" max="5633" width="22.28515625" style="78" customWidth="1"/>
    <col min="5634" max="5634" width="53.28515625" style="78" customWidth="1"/>
    <col min="5635" max="5635" width="10.7109375" style="78" customWidth="1"/>
    <col min="5636" max="5636" width="9.140625" style="78"/>
    <col min="5637" max="5638" width="0" style="78" hidden="1" customWidth="1"/>
    <col min="5639" max="5639" width="105.42578125" style="78" customWidth="1"/>
    <col min="5640" max="5888" width="9.140625" style="78"/>
    <col min="5889" max="5889" width="22.28515625" style="78" customWidth="1"/>
    <col min="5890" max="5890" width="53.28515625" style="78" customWidth="1"/>
    <col min="5891" max="5891" width="10.7109375" style="78" customWidth="1"/>
    <col min="5892" max="5892" width="9.140625" style="78"/>
    <col min="5893" max="5894" width="0" style="78" hidden="1" customWidth="1"/>
    <col min="5895" max="5895" width="105.42578125" style="78" customWidth="1"/>
    <col min="5896" max="6144" width="9.140625" style="78"/>
    <col min="6145" max="6145" width="22.28515625" style="78" customWidth="1"/>
    <col min="6146" max="6146" width="53.28515625" style="78" customWidth="1"/>
    <col min="6147" max="6147" width="10.7109375" style="78" customWidth="1"/>
    <col min="6148" max="6148" width="9.140625" style="78"/>
    <col min="6149" max="6150" width="0" style="78" hidden="1" customWidth="1"/>
    <col min="6151" max="6151" width="105.42578125" style="78" customWidth="1"/>
    <col min="6152" max="6400" width="9.140625" style="78"/>
    <col min="6401" max="6401" width="22.28515625" style="78" customWidth="1"/>
    <col min="6402" max="6402" width="53.28515625" style="78" customWidth="1"/>
    <col min="6403" max="6403" width="10.7109375" style="78" customWidth="1"/>
    <col min="6404" max="6404" width="9.140625" style="78"/>
    <col min="6405" max="6406" width="0" style="78" hidden="1" customWidth="1"/>
    <col min="6407" max="6407" width="105.42578125" style="78" customWidth="1"/>
    <col min="6408" max="6656" width="9.140625" style="78"/>
    <col min="6657" max="6657" width="22.28515625" style="78" customWidth="1"/>
    <col min="6658" max="6658" width="53.28515625" style="78" customWidth="1"/>
    <col min="6659" max="6659" width="10.7109375" style="78" customWidth="1"/>
    <col min="6660" max="6660" width="9.140625" style="78"/>
    <col min="6661" max="6662" width="0" style="78" hidden="1" customWidth="1"/>
    <col min="6663" max="6663" width="105.42578125" style="78" customWidth="1"/>
    <col min="6664" max="6912" width="9.140625" style="78"/>
    <col min="6913" max="6913" width="22.28515625" style="78" customWidth="1"/>
    <col min="6914" max="6914" width="53.28515625" style="78" customWidth="1"/>
    <col min="6915" max="6915" width="10.7109375" style="78" customWidth="1"/>
    <col min="6916" max="6916" width="9.140625" style="78"/>
    <col min="6917" max="6918" width="0" style="78" hidden="1" customWidth="1"/>
    <col min="6919" max="6919" width="105.42578125" style="78" customWidth="1"/>
    <col min="6920" max="7168" width="9.140625" style="78"/>
    <col min="7169" max="7169" width="22.28515625" style="78" customWidth="1"/>
    <col min="7170" max="7170" width="53.28515625" style="78" customWidth="1"/>
    <col min="7171" max="7171" width="10.7109375" style="78" customWidth="1"/>
    <col min="7172" max="7172" width="9.140625" style="78"/>
    <col min="7173" max="7174" width="0" style="78" hidden="1" customWidth="1"/>
    <col min="7175" max="7175" width="105.42578125" style="78" customWidth="1"/>
    <col min="7176" max="7424" width="9.140625" style="78"/>
    <col min="7425" max="7425" width="22.28515625" style="78" customWidth="1"/>
    <col min="7426" max="7426" width="53.28515625" style="78" customWidth="1"/>
    <col min="7427" max="7427" width="10.7109375" style="78" customWidth="1"/>
    <col min="7428" max="7428" width="9.140625" style="78"/>
    <col min="7429" max="7430" width="0" style="78" hidden="1" customWidth="1"/>
    <col min="7431" max="7431" width="105.42578125" style="78" customWidth="1"/>
    <col min="7432" max="7680" width="9.140625" style="78"/>
    <col min="7681" max="7681" width="22.28515625" style="78" customWidth="1"/>
    <col min="7682" max="7682" width="53.28515625" style="78" customWidth="1"/>
    <col min="7683" max="7683" width="10.7109375" style="78" customWidth="1"/>
    <col min="7684" max="7684" width="9.140625" style="78"/>
    <col min="7685" max="7686" width="0" style="78" hidden="1" customWidth="1"/>
    <col min="7687" max="7687" width="105.42578125" style="78" customWidth="1"/>
    <col min="7688" max="7936" width="9.140625" style="78"/>
    <col min="7937" max="7937" width="22.28515625" style="78" customWidth="1"/>
    <col min="7938" max="7938" width="53.28515625" style="78" customWidth="1"/>
    <col min="7939" max="7939" width="10.7109375" style="78" customWidth="1"/>
    <col min="7940" max="7940" width="9.140625" style="78"/>
    <col min="7941" max="7942" width="0" style="78" hidden="1" customWidth="1"/>
    <col min="7943" max="7943" width="105.42578125" style="78" customWidth="1"/>
    <col min="7944" max="8192" width="9.140625" style="78"/>
    <col min="8193" max="8193" width="22.28515625" style="78" customWidth="1"/>
    <col min="8194" max="8194" width="53.28515625" style="78" customWidth="1"/>
    <col min="8195" max="8195" width="10.7109375" style="78" customWidth="1"/>
    <col min="8196" max="8196" width="9.140625" style="78"/>
    <col min="8197" max="8198" width="0" style="78" hidden="1" customWidth="1"/>
    <col min="8199" max="8199" width="105.42578125" style="78" customWidth="1"/>
    <col min="8200" max="8448" width="9.140625" style="78"/>
    <col min="8449" max="8449" width="22.28515625" style="78" customWidth="1"/>
    <col min="8450" max="8450" width="53.28515625" style="78" customWidth="1"/>
    <col min="8451" max="8451" width="10.7109375" style="78" customWidth="1"/>
    <col min="8452" max="8452" width="9.140625" style="78"/>
    <col min="8453" max="8454" width="0" style="78" hidden="1" customWidth="1"/>
    <col min="8455" max="8455" width="105.42578125" style="78" customWidth="1"/>
    <col min="8456" max="8704" width="9.140625" style="78"/>
    <col min="8705" max="8705" width="22.28515625" style="78" customWidth="1"/>
    <col min="8706" max="8706" width="53.28515625" style="78" customWidth="1"/>
    <col min="8707" max="8707" width="10.7109375" style="78" customWidth="1"/>
    <col min="8708" max="8708" width="9.140625" style="78"/>
    <col min="8709" max="8710" width="0" style="78" hidden="1" customWidth="1"/>
    <col min="8711" max="8711" width="105.42578125" style="78" customWidth="1"/>
    <col min="8712" max="8960" width="9.140625" style="78"/>
    <col min="8961" max="8961" width="22.28515625" style="78" customWidth="1"/>
    <col min="8962" max="8962" width="53.28515625" style="78" customWidth="1"/>
    <col min="8963" max="8963" width="10.7109375" style="78" customWidth="1"/>
    <col min="8964" max="8964" width="9.140625" style="78"/>
    <col min="8965" max="8966" width="0" style="78" hidden="1" customWidth="1"/>
    <col min="8967" max="8967" width="105.42578125" style="78" customWidth="1"/>
    <col min="8968" max="9216" width="9.140625" style="78"/>
    <col min="9217" max="9217" width="22.28515625" style="78" customWidth="1"/>
    <col min="9218" max="9218" width="53.28515625" style="78" customWidth="1"/>
    <col min="9219" max="9219" width="10.7109375" style="78" customWidth="1"/>
    <col min="9220" max="9220" width="9.140625" style="78"/>
    <col min="9221" max="9222" width="0" style="78" hidden="1" customWidth="1"/>
    <col min="9223" max="9223" width="105.42578125" style="78" customWidth="1"/>
    <col min="9224" max="9472" width="9.140625" style="78"/>
    <col min="9473" max="9473" width="22.28515625" style="78" customWidth="1"/>
    <col min="9474" max="9474" width="53.28515625" style="78" customWidth="1"/>
    <col min="9475" max="9475" width="10.7109375" style="78" customWidth="1"/>
    <col min="9476" max="9476" width="9.140625" style="78"/>
    <col min="9477" max="9478" width="0" style="78" hidden="1" customWidth="1"/>
    <col min="9479" max="9479" width="105.42578125" style="78" customWidth="1"/>
    <col min="9480" max="9728" width="9.140625" style="78"/>
    <col min="9729" max="9729" width="22.28515625" style="78" customWidth="1"/>
    <col min="9730" max="9730" width="53.28515625" style="78" customWidth="1"/>
    <col min="9731" max="9731" width="10.7109375" style="78" customWidth="1"/>
    <col min="9732" max="9732" width="9.140625" style="78"/>
    <col min="9733" max="9734" width="0" style="78" hidden="1" customWidth="1"/>
    <col min="9735" max="9735" width="105.42578125" style="78" customWidth="1"/>
    <col min="9736" max="9984" width="9.140625" style="78"/>
    <col min="9985" max="9985" width="22.28515625" style="78" customWidth="1"/>
    <col min="9986" max="9986" width="53.28515625" style="78" customWidth="1"/>
    <col min="9987" max="9987" width="10.7109375" style="78" customWidth="1"/>
    <col min="9988" max="9988" width="9.140625" style="78"/>
    <col min="9989" max="9990" width="0" style="78" hidden="1" customWidth="1"/>
    <col min="9991" max="9991" width="105.42578125" style="78" customWidth="1"/>
    <col min="9992" max="10240" width="9.140625" style="78"/>
    <col min="10241" max="10241" width="22.28515625" style="78" customWidth="1"/>
    <col min="10242" max="10242" width="53.28515625" style="78" customWidth="1"/>
    <col min="10243" max="10243" width="10.7109375" style="78" customWidth="1"/>
    <col min="10244" max="10244" width="9.140625" style="78"/>
    <col min="10245" max="10246" width="0" style="78" hidden="1" customWidth="1"/>
    <col min="10247" max="10247" width="105.42578125" style="78" customWidth="1"/>
    <col min="10248" max="10496" width="9.140625" style="78"/>
    <col min="10497" max="10497" width="22.28515625" style="78" customWidth="1"/>
    <col min="10498" max="10498" width="53.28515625" style="78" customWidth="1"/>
    <col min="10499" max="10499" width="10.7109375" style="78" customWidth="1"/>
    <col min="10500" max="10500" width="9.140625" style="78"/>
    <col min="10501" max="10502" width="0" style="78" hidden="1" customWidth="1"/>
    <col min="10503" max="10503" width="105.42578125" style="78" customWidth="1"/>
    <col min="10504" max="10752" width="9.140625" style="78"/>
    <col min="10753" max="10753" width="22.28515625" style="78" customWidth="1"/>
    <col min="10754" max="10754" width="53.28515625" style="78" customWidth="1"/>
    <col min="10755" max="10755" width="10.7109375" style="78" customWidth="1"/>
    <col min="10756" max="10756" width="9.140625" style="78"/>
    <col min="10757" max="10758" width="0" style="78" hidden="1" customWidth="1"/>
    <col min="10759" max="10759" width="105.42578125" style="78" customWidth="1"/>
    <col min="10760" max="11008" width="9.140625" style="78"/>
    <col min="11009" max="11009" width="22.28515625" style="78" customWidth="1"/>
    <col min="11010" max="11010" width="53.28515625" style="78" customWidth="1"/>
    <col min="11011" max="11011" width="10.7109375" style="78" customWidth="1"/>
    <col min="11012" max="11012" width="9.140625" style="78"/>
    <col min="11013" max="11014" width="0" style="78" hidden="1" customWidth="1"/>
    <col min="11015" max="11015" width="105.42578125" style="78" customWidth="1"/>
    <col min="11016" max="11264" width="9.140625" style="78"/>
    <col min="11265" max="11265" width="22.28515625" style="78" customWidth="1"/>
    <col min="11266" max="11266" width="53.28515625" style="78" customWidth="1"/>
    <col min="11267" max="11267" width="10.7109375" style="78" customWidth="1"/>
    <col min="11268" max="11268" width="9.140625" style="78"/>
    <col min="11269" max="11270" width="0" style="78" hidden="1" customWidth="1"/>
    <col min="11271" max="11271" width="105.42578125" style="78" customWidth="1"/>
    <col min="11272" max="11520" width="9.140625" style="78"/>
    <col min="11521" max="11521" width="22.28515625" style="78" customWidth="1"/>
    <col min="11522" max="11522" width="53.28515625" style="78" customWidth="1"/>
    <col min="11523" max="11523" width="10.7109375" style="78" customWidth="1"/>
    <col min="11524" max="11524" width="9.140625" style="78"/>
    <col min="11525" max="11526" width="0" style="78" hidden="1" customWidth="1"/>
    <col min="11527" max="11527" width="105.42578125" style="78" customWidth="1"/>
    <col min="11528" max="11776" width="9.140625" style="78"/>
    <col min="11777" max="11777" width="22.28515625" style="78" customWidth="1"/>
    <col min="11778" max="11778" width="53.28515625" style="78" customWidth="1"/>
    <col min="11779" max="11779" width="10.7109375" style="78" customWidth="1"/>
    <col min="11780" max="11780" width="9.140625" style="78"/>
    <col min="11781" max="11782" width="0" style="78" hidden="1" customWidth="1"/>
    <col min="11783" max="11783" width="105.42578125" style="78" customWidth="1"/>
    <col min="11784" max="12032" width="9.140625" style="78"/>
    <col min="12033" max="12033" width="22.28515625" style="78" customWidth="1"/>
    <col min="12034" max="12034" width="53.28515625" style="78" customWidth="1"/>
    <col min="12035" max="12035" width="10.7109375" style="78" customWidth="1"/>
    <col min="12036" max="12036" width="9.140625" style="78"/>
    <col min="12037" max="12038" width="0" style="78" hidden="1" customWidth="1"/>
    <col min="12039" max="12039" width="105.42578125" style="78" customWidth="1"/>
    <col min="12040" max="12288" width="9.140625" style="78"/>
    <col min="12289" max="12289" width="22.28515625" style="78" customWidth="1"/>
    <col min="12290" max="12290" width="53.28515625" style="78" customWidth="1"/>
    <col min="12291" max="12291" width="10.7109375" style="78" customWidth="1"/>
    <col min="12292" max="12292" width="9.140625" style="78"/>
    <col min="12293" max="12294" width="0" style="78" hidden="1" customWidth="1"/>
    <col min="12295" max="12295" width="105.42578125" style="78" customWidth="1"/>
    <col min="12296" max="12544" width="9.140625" style="78"/>
    <col min="12545" max="12545" width="22.28515625" style="78" customWidth="1"/>
    <col min="12546" max="12546" width="53.28515625" style="78" customWidth="1"/>
    <col min="12547" max="12547" width="10.7109375" style="78" customWidth="1"/>
    <col min="12548" max="12548" width="9.140625" style="78"/>
    <col min="12549" max="12550" width="0" style="78" hidden="1" customWidth="1"/>
    <col min="12551" max="12551" width="105.42578125" style="78" customWidth="1"/>
    <col min="12552" max="12800" width="9.140625" style="78"/>
    <col min="12801" max="12801" width="22.28515625" style="78" customWidth="1"/>
    <col min="12802" max="12802" width="53.28515625" style="78" customWidth="1"/>
    <col min="12803" max="12803" width="10.7109375" style="78" customWidth="1"/>
    <col min="12804" max="12804" width="9.140625" style="78"/>
    <col min="12805" max="12806" width="0" style="78" hidden="1" customWidth="1"/>
    <col min="12807" max="12807" width="105.42578125" style="78" customWidth="1"/>
    <col min="12808" max="13056" width="9.140625" style="78"/>
    <col min="13057" max="13057" width="22.28515625" style="78" customWidth="1"/>
    <col min="13058" max="13058" width="53.28515625" style="78" customWidth="1"/>
    <col min="13059" max="13059" width="10.7109375" style="78" customWidth="1"/>
    <col min="13060" max="13060" width="9.140625" style="78"/>
    <col min="13061" max="13062" width="0" style="78" hidden="1" customWidth="1"/>
    <col min="13063" max="13063" width="105.42578125" style="78" customWidth="1"/>
    <col min="13064" max="13312" width="9.140625" style="78"/>
    <col min="13313" max="13313" width="22.28515625" style="78" customWidth="1"/>
    <col min="13314" max="13314" width="53.28515625" style="78" customWidth="1"/>
    <col min="13315" max="13315" width="10.7109375" style="78" customWidth="1"/>
    <col min="13316" max="13316" width="9.140625" style="78"/>
    <col min="13317" max="13318" width="0" style="78" hidden="1" customWidth="1"/>
    <col min="13319" max="13319" width="105.42578125" style="78" customWidth="1"/>
    <col min="13320" max="13568" width="9.140625" style="78"/>
    <col min="13569" max="13569" width="22.28515625" style="78" customWidth="1"/>
    <col min="13570" max="13570" width="53.28515625" style="78" customWidth="1"/>
    <col min="13571" max="13571" width="10.7109375" style="78" customWidth="1"/>
    <col min="13572" max="13572" width="9.140625" style="78"/>
    <col min="13573" max="13574" width="0" style="78" hidden="1" customWidth="1"/>
    <col min="13575" max="13575" width="105.42578125" style="78" customWidth="1"/>
    <col min="13576" max="13824" width="9.140625" style="78"/>
    <col min="13825" max="13825" width="22.28515625" style="78" customWidth="1"/>
    <col min="13826" max="13826" width="53.28515625" style="78" customWidth="1"/>
    <col min="13827" max="13827" width="10.7109375" style="78" customWidth="1"/>
    <col min="13828" max="13828" width="9.140625" style="78"/>
    <col min="13829" max="13830" width="0" style="78" hidden="1" customWidth="1"/>
    <col min="13831" max="13831" width="105.42578125" style="78" customWidth="1"/>
    <col min="13832" max="14080" width="9.140625" style="78"/>
    <col min="14081" max="14081" width="22.28515625" style="78" customWidth="1"/>
    <col min="14082" max="14082" width="53.28515625" style="78" customWidth="1"/>
    <col min="14083" max="14083" width="10.7109375" style="78" customWidth="1"/>
    <col min="14084" max="14084" width="9.140625" style="78"/>
    <col min="14085" max="14086" width="0" style="78" hidden="1" customWidth="1"/>
    <col min="14087" max="14087" width="105.42578125" style="78" customWidth="1"/>
    <col min="14088" max="14336" width="9.140625" style="78"/>
    <col min="14337" max="14337" width="22.28515625" style="78" customWidth="1"/>
    <col min="14338" max="14338" width="53.28515625" style="78" customWidth="1"/>
    <col min="14339" max="14339" width="10.7109375" style="78" customWidth="1"/>
    <col min="14340" max="14340" width="9.140625" style="78"/>
    <col min="14341" max="14342" width="0" style="78" hidden="1" customWidth="1"/>
    <col min="14343" max="14343" width="105.42578125" style="78" customWidth="1"/>
    <col min="14344" max="14592" width="9.140625" style="78"/>
    <col min="14593" max="14593" width="22.28515625" style="78" customWidth="1"/>
    <col min="14594" max="14594" width="53.28515625" style="78" customWidth="1"/>
    <col min="14595" max="14595" width="10.7109375" style="78" customWidth="1"/>
    <col min="14596" max="14596" width="9.140625" style="78"/>
    <col min="14597" max="14598" width="0" style="78" hidden="1" customWidth="1"/>
    <col min="14599" max="14599" width="105.42578125" style="78" customWidth="1"/>
    <col min="14600" max="14848" width="9.140625" style="78"/>
    <col min="14849" max="14849" width="22.28515625" style="78" customWidth="1"/>
    <col min="14850" max="14850" width="53.28515625" style="78" customWidth="1"/>
    <col min="14851" max="14851" width="10.7109375" style="78" customWidth="1"/>
    <col min="14852" max="14852" width="9.140625" style="78"/>
    <col min="14853" max="14854" width="0" style="78" hidden="1" customWidth="1"/>
    <col min="14855" max="14855" width="105.42578125" style="78" customWidth="1"/>
    <col min="14856" max="15104" width="9.140625" style="78"/>
    <col min="15105" max="15105" width="22.28515625" style="78" customWidth="1"/>
    <col min="15106" max="15106" width="53.28515625" style="78" customWidth="1"/>
    <col min="15107" max="15107" width="10.7109375" style="78" customWidth="1"/>
    <col min="15108" max="15108" width="9.140625" style="78"/>
    <col min="15109" max="15110" width="0" style="78" hidden="1" customWidth="1"/>
    <col min="15111" max="15111" width="105.42578125" style="78" customWidth="1"/>
    <col min="15112" max="15360" width="9.140625" style="78"/>
    <col min="15361" max="15361" width="22.28515625" style="78" customWidth="1"/>
    <col min="15362" max="15362" width="53.28515625" style="78" customWidth="1"/>
    <col min="15363" max="15363" width="10.7109375" style="78" customWidth="1"/>
    <col min="15364" max="15364" width="9.140625" style="78"/>
    <col min="15365" max="15366" width="0" style="78" hidden="1" customWidth="1"/>
    <col min="15367" max="15367" width="105.42578125" style="78" customWidth="1"/>
    <col min="15368" max="15616" width="9.140625" style="78"/>
    <col min="15617" max="15617" width="22.28515625" style="78" customWidth="1"/>
    <col min="15618" max="15618" width="53.28515625" style="78" customWidth="1"/>
    <col min="15619" max="15619" width="10.7109375" style="78" customWidth="1"/>
    <col min="15620" max="15620" width="9.140625" style="78"/>
    <col min="15621" max="15622" width="0" style="78" hidden="1" customWidth="1"/>
    <col min="15623" max="15623" width="105.42578125" style="78" customWidth="1"/>
    <col min="15624" max="15872" width="9.140625" style="78"/>
    <col min="15873" max="15873" width="22.28515625" style="78" customWidth="1"/>
    <col min="15874" max="15874" width="53.28515625" style="78" customWidth="1"/>
    <col min="15875" max="15875" width="10.7109375" style="78" customWidth="1"/>
    <col min="15876" max="15876" width="9.140625" style="78"/>
    <col min="15877" max="15878" width="0" style="78" hidden="1" customWidth="1"/>
    <col min="15879" max="15879" width="105.42578125" style="78" customWidth="1"/>
    <col min="15880" max="16128" width="9.140625" style="78"/>
    <col min="16129" max="16129" width="22.28515625" style="78" customWidth="1"/>
    <col min="16130" max="16130" width="53.28515625" style="78" customWidth="1"/>
    <col min="16131" max="16131" width="10.7109375" style="78" customWidth="1"/>
    <col min="16132" max="16132" width="9.140625" style="78"/>
    <col min="16133" max="16134" width="0" style="78" hidden="1" customWidth="1"/>
    <col min="16135" max="16135" width="105.42578125" style="78" customWidth="1"/>
    <col min="16136" max="16384" width="9.140625" style="78"/>
  </cols>
  <sheetData>
    <row r="1" spans="1:14" s="86" customFormat="1" ht="19.5" customHeight="1" x14ac:dyDescent="0.25">
      <c r="A1" s="164" t="s">
        <v>235</v>
      </c>
      <c r="B1" s="165"/>
      <c r="C1" s="165"/>
      <c r="D1" s="165"/>
      <c r="E1" s="165"/>
      <c r="F1" s="165"/>
      <c r="G1" s="165"/>
    </row>
    <row r="2" spans="1:14" s="76" customFormat="1" ht="25.5" x14ac:dyDescent="0.25">
      <c r="A2" s="43" t="s">
        <v>0</v>
      </c>
      <c r="B2" s="43" t="s">
        <v>1</v>
      </c>
      <c r="C2" s="141" t="s">
        <v>2</v>
      </c>
      <c r="D2" s="141"/>
      <c r="E2" s="44" t="s">
        <v>3</v>
      </c>
      <c r="F2" s="50" t="s">
        <v>4</v>
      </c>
      <c r="G2" s="50" t="s">
        <v>5</v>
      </c>
    </row>
    <row r="3" spans="1:14" s="86" customFormat="1" ht="105.75" customHeight="1" x14ac:dyDescent="0.25">
      <c r="A3" s="22" t="s">
        <v>388</v>
      </c>
      <c r="B3" s="33" t="s">
        <v>390</v>
      </c>
      <c r="C3" s="22"/>
      <c r="D3" s="15"/>
      <c r="E3" s="15"/>
      <c r="F3" s="15"/>
      <c r="G3" s="14" t="s">
        <v>391</v>
      </c>
    </row>
    <row r="4" spans="1:14" ht="153.75" customHeight="1" x14ac:dyDescent="0.25">
      <c r="A4" s="22" t="s">
        <v>389</v>
      </c>
      <c r="B4" s="33" t="s">
        <v>392</v>
      </c>
      <c r="C4" s="33"/>
      <c r="D4" s="33"/>
      <c r="E4" s="33"/>
      <c r="F4" s="33"/>
      <c r="G4" s="65" t="s">
        <v>393</v>
      </c>
    </row>
    <row r="5" spans="1:14" s="86" customFormat="1" ht="39" customHeight="1" x14ac:dyDescent="0.25">
      <c r="A5" s="22" t="s">
        <v>236</v>
      </c>
      <c r="B5" s="33" t="s">
        <v>237</v>
      </c>
      <c r="C5" s="22">
        <v>10</v>
      </c>
      <c r="D5" s="15"/>
      <c r="E5" s="15"/>
      <c r="F5" s="15"/>
      <c r="G5" s="14" t="s">
        <v>58</v>
      </c>
    </row>
    <row r="6" spans="1:14" ht="76.5" x14ac:dyDescent="0.25">
      <c r="A6" s="42" t="s">
        <v>394</v>
      </c>
      <c r="B6" s="60" t="s">
        <v>238</v>
      </c>
      <c r="C6" s="23"/>
      <c r="D6" s="23">
        <v>5</v>
      </c>
      <c r="E6" s="23"/>
      <c r="F6" s="23"/>
      <c r="G6" s="9" t="s">
        <v>397</v>
      </c>
    </row>
    <row r="7" spans="1:14" ht="76.5" x14ac:dyDescent="0.25">
      <c r="A7" s="42" t="s">
        <v>395</v>
      </c>
      <c r="B7" s="60" t="s">
        <v>396</v>
      </c>
      <c r="C7" s="23"/>
      <c r="D7" s="42">
        <v>5</v>
      </c>
      <c r="E7" s="42"/>
      <c r="F7" s="23"/>
      <c r="G7" s="9" t="s">
        <v>239</v>
      </c>
      <c r="K7" s="175"/>
      <c r="L7" s="175"/>
      <c r="M7" s="175"/>
      <c r="N7" s="175"/>
    </row>
    <row r="8" spans="1:14" s="86" customFormat="1" x14ac:dyDescent="0.25">
      <c r="A8" s="22" t="s">
        <v>240</v>
      </c>
      <c r="B8" s="33" t="s">
        <v>401</v>
      </c>
      <c r="C8" s="22">
        <v>10</v>
      </c>
      <c r="D8" s="15"/>
      <c r="E8" s="15"/>
      <c r="F8" s="15"/>
      <c r="G8" s="14"/>
    </row>
    <row r="9" spans="1:14" ht="127.5" x14ac:dyDescent="0.25">
      <c r="A9" s="42" t="s">
        <v>398</v>
      </c>
      <c r="B9" s="60" t="s">
        <v>400</v>
      </c>
      <c r="C9" s="23"/>
      <c r="D9" s="42">
        <v>5</v>
      </c>
      <c r="E9" s="42"/>
      <c r="F9" s="23"/>
      <c r="G9" s="60" t="s">
        <v>453</v>
      </c>
    </row>
    <row r="10" spans="1:14" ht="107.25" customHeight="1" x14ac:dyDescent="0.25">
      <c r="A10" s="42" t="s">
        <v>399</v>
      </c>
      <c r="B10" s="60" t="s">
        <v>241</v>
      </c>
      <c r="C10" s="23"/>
      <c r="D10" s="42">
        <v>5</v>
      </c>
      <c r="E10" s="42"/>
      <c r="F10" s="23"/>
      <c r="G10" s="40" t="s">
        <v>410</v>
      </c>
    </row>
    <row r="11" spans="1:14" s="86" customFormat="1" x14ac:dyDescent="0.25">
      <c r="A11" s="22" t="s">
        <v>242</v>
      </c>
      <c r="B11" s="33" t="s">
        <v>411</v>
      </c>
      <c r="C11" s="22">
        <v>10</v>
      </c>
      <c r="D11" s="15"/>
      <c r="E11" s="15"/>
      <c r="F11" s="15"/>
      <c r="G11" s="14"/>
    </row>
    <row r="12" spans="1:14" ht="114.75" x14ac:dyDescent="0.25">
      <c r="A12" s="42" t="s">
        <v>412</v>
      </c>
      <c r="B12" s="60" t="s">
        <v>413</v>
      </c>
      <c r="C12" s="23"/>
      <c r="D12" s="42">
        <v>5</v>
      </c>
      <c r="E12" s="42"/>
      <c r="F12" s="23"/>
      <c r="G12" s="9" t="s">
        <v>414</v>
      </c>
    </row>
    <row r="13" spans="1:14" ht="51" x14ac:dyDescent="0.25">
      <c r="A13" s="42" t="s">
        <v>415</v>
      </c>
      <c r="B13" s="60" t="s">
        <v>416</v>
      </c>
      <c r="C13" s="23"/>
      <c r="D13" s="42">
        <v>5</v>
      </c>
      <c r="E13" s="42"/>
      <c r="F13" s="23"/>
      <c r="G13" s="9" t="s">
        <v>417</v>
      </c>
    </row>
    <row r="14" spans="1:14" s="87" customFormat="1" x14ac:dyDescent="0.25">
      <c r="A14" s="22" t="s">
        <v>418</v>
      </c>
      <c r="B14" s="33" t="s">
        <v>243</v>
      </c>
      <c r="C14" s="22">
        <v>25</v>
      </c>
      <c r="D14" s="22"/>
      <c r="E14" s="22"/>
      <c r="F14" s="22"/>
      <c r="G14" s="33"/>
    </row>
    <row r="15" spans="1:14" s="87" customFormat="1" ht="15" customHeight="1" x14ac:dyDescent="0.25">
      <c r="A15" s="42" t="s">
        <v>419</v>
      </c>
      <c r="B15" s="60" t="s">
        <v>244</v>
      </c>
      <c r="C15" s="42"/>
      <c r="D15" s="42">
        <v>10</v>
      </c>
      <c r="E15" s="42"/>
      <c r="F15" s="42"/>
      <c r="G15" s="40"/>
    </row>
    <row r="16" spans="1:14" s="87" customFormat="1" ht="21.75" customHeight="1" x14ac:dyDescent="0.25">
      <c r="A16" s="152"/>
      <c r="B16" s="72" t="s">
        <v>420</v>
      </c>
      <c r="C16" s="152"/>
      <c r="D16" s="152"/>
      <c r="E16" s="152"/>
      <c r="F16" s="152"/>
      <c r="G16" s="154" t="s">
        <v>431</v>
      </c>
    </row>
    <row r="17" spans="1:8" ht="21.75" customHeight="1" x14ac:dyDescent="0.25">
      <c r="A17" s="166"/>
      <c r="B17" s="77" t="s">
        <v>425</v>
      </c>
      <c r="C17" s="166"/>
      <c r="D17" s="166"/>
      <c r="E17" s="166"/>
      <c r="F17" s="166"/>
      <c r="G17" s="155"/>
    </row>
    <row r="18" spans="1:8" ht="21.75" customHeight="1" x14ac:dyDescent="0.25">
      <c r="A18" s="166"/>
      <c r="B18" s="77" t="s">
        <v>426</v>
      </c>
      <c r="C18" s="153"/>
      <c r="D18" s="153"/>
      <c r="E18" s="153"/>
      <c r="F18" s="153"/>
      <c r="G18" s="156"/>
    </row>
    <row r="19" spans="1:8" s="91" customFormat="1" ht="30" customHeight="1" x14ac:dyDescent="0.25">
      <c r="A19" s="166"/>
      <c r="B19" s="82" t="s">
        <v>421</v>
      </c>
      <c r="C19" s="176"/>
      <c r="D19" s="146"/>
      <c r="E19" s="176"/>
      <c r="F19" s="176"/>
      <c r="G19" s="179" t="s">
        <v>429</v>
      </c>
      <c r="H19" s="93"/>
    </row>
    <row r="20" spans="1:8" s="91" customFormat="1" ht="25.5" x14ac:dyDescent="0.25">
      <c r="A20" s="166"/>
      <c r="B20" s="69" t="s">
        <v>427</v>
      </c>
      <c r="C20" s="177"/>
      <c r="D20" s="147"/>
      <c r="E20" s="177"/>
      <c r="F20" s="177"/>
      <c r="G20" s="180"/>
      <c r="H20" s="93"/>
    </row>
    <row r="21" spans="1:8" s="91" customFormat="1" ht="25.5" x14ac:dyDescent="0.25">
      <c r="A21" s="153"/>
      <c r="B21" s="69" t="s">
        <v>428</v>
      </c>
      <c r="C21" s="178"/>
      <c r="D21" s="148"/>
      <c r="E21" s="178"/>
      <c r="F21" s="178"/>
      <c r="G21" s="181"/>
      <c r="H21" s="93"/>
    </row>
    <row r="22" spans="1:8" s="87" customFormat="1" x14ac:dyDescent="0.25">
      <c r="A22" s="42" t="s">
        <v>422</v>
      </c>
      <c r="B22" s="60" t="s">
        <v>245</v>
      </c>
      <c r="C22" s="42"/>
      <c r="D22" s="42">
        <v>10</v>
      </c>
      <c r="E22" s="42"/>
      <c r="F22" s="42"/>
      <c r="G22" s="60"/>
    </row>
    <row r="23" spans="1:8" ht="40.5" customHeight="1" x14ac:dyDescent="0.25">
      <c r="A23" s="167"/>
      <c r="B23" s="78" t="s">
        <v>437</v>
      </c>
      <c r="C23" s="167"/>
      <c r="D23" s="167" t="s">
        <v>561</v>
      </c>
      <c r="E23" s="167"/>
      <c r="F23" s="167"/>
      <c r="G23" s="159" t="s">
        <v>487</v>
      </c>
    </row>
    <row r="24" spans="1:8" ht="40.5" customHeight="1" x14ac:dyDescent="0.25">
      <c r="A24" s="168"/>
      <c r="B24" s="77" t="s">
        <v>436</v>
      </c>
      <c r="C24" s="168"/>
      <c r="D24" s="168"/>
      <c r="E24" s="168"/>
      <c r="F24" s="168"/>
      <c r="G24" s="159"/>
    </row>
    <row r="25" spans="1:8" ht="63.75" x14ac:dyDescent="0.25">
      <c r="A25" s="68" t="s">
        <v>423</v>
      </c>
      <c r="B25" s="69" t="s">
        <v>424</v>
      </c>
      <c r="C25" s="68"/>
      <c r="D25" s="68">
        <v>5</v>
      </c>
      <c r="E25" s="23"/>
      <c r="F25" s="24"/>
      <c r="G25" s="27" t="s">
        <v>430</v>
      </c>
    </row>
    <row r="26" spans="1:8" s="86" customFormat="1" x14ac:dyDescent="0.25">
      <c r="A26" s="22" t="s">
        <v>246</v>
      </c>
      <c r="B26" s="33" t="s">
        <v>247</v>
      </c>
      <c r="C26" s="22">
        <v>25</v>
      </c>
      <c r="D26" s="15"/>
      <c r="E26" s="15"/>
      <c r="F26" s="15"/>
      <c r="G26" s="37"/>
    </row>
    <row r="27" spans="1:8" s="86" customFormat="1" x14ac:dyDescent="0.25">
      <c r="A27" s="92" t="s">
        <v>434</v>
      </c>
      <c r="B27" s="94" t="s">
        <v>248</v>
      </c>
      <c r="C27" s="42"/>
      <c r="D27" s="42">
        <v>15</v>
      </c>
      <c r="E27" s="43"/>
      <c r="F27" s="42"/>
      <c r="G27" s="82"/>
    </row>
    <row r="28" spans="1:8" ht="18.75" customHeight="1" x14ac:dyDescent="0.25">
      <c r="A28" s="147"/>
      <c r="B28" s="74" t="s">
        <v>439</v>
      </c>
      <c r="C28" s="23"/>
      <c r="D28" s="42">
        <v>10</v>
      </c>
      <c r="E28" s="42"/>
      <c r="F28" s="9"/>
      <c r="G28" s="154" t="s">
        <v>441</v>
      </c>
    </row>
    <row r="29" spans="1:8" ht="18.75" customHeight="1" x14ac:dyDescent="0.25">
      <c r="A29" s="147"/>
      <c r="B29" s="60" t="s">
        <v>432</v>
      </c>
      <c r="C29" s="167"/>
      <c r="D29" s="146"/>
      <c r="E29" s="146"/>
      <c r="F29" s="146"/>
      <c r="G29" s="155"/>
    </row>
    <row r="30" spans="1:8" ht="18.75" customHeight="1" x14ac:dyDescent="0.25">
      <c r="A30" s="147"/>
      <c r="B30" s="60" t="s">
        <v>433</v>
      </c>
      <c r="C30" s="168"/>
      <c r="D30" s="148"/>
      <c r="E30" s="148"/>
      <c r="F30" s="148"/>
      <c r="G30" s="156"/>
    </row>
    <row r="31" spans="1:8" ht="16.5" customHeight="1" x14ac:dyDescent="0.25">
      <c r="A31" s="148"/>
      <c r="B31" s="74" t="s">
        <v>440</v>
      </c>
      <c r="C31" s="23"/>
      <c r="D31" s="42">
        <v>5</v>
      </c>
      <c r="E31" s="42"/>
      <c r="F31" s="9"/>
      <c r="G31" s="9" t="s">
        <v>442</v>
      </c>
    </row>
    <row r="32" spans="1:8" s="86" customFormat="1" ht="25.5" x14ac:dyDescent="0.25">
      <c r="A32" s="96" t="s">
        <v>435</v>
      </c>
      <c r="B32" s="94" t="s">
        <v>489</v>
      </c>
      <c r="C32" s="42"/>
      <c r="D32" s="42">
        <v>10</v>
      </c>
      <c r="E32" s="43"/>
      <c r="F32" s="40"/>
      <c r="G32" s="40"/>
    </row>
    <row r="33" spans="1:15" ht="51" x14ac:dyDescent="0.25">
      <c r="A33" s="40"/>
      <c r="B33" s="77" t="s">
        <v>491</v>
      </c>
      <c r="C33" s="23"/>
      <c r="D33" s="23">
        <v>5</v>
      </c>
      <c r="E33" s="23"/>
      <c r="F33" s="24"/>
      <c r="G33" s="9" t="s">
        <v>490</v>
      </c>
    </row>
    <row r="34" spans="1:15" ht="51" x14ac:dyDescent="0.25">
      <c r="A34" s="40"/>
      <c r="B34" s="26" t="s">
        <v>493</v>
      </c>
      <c r="C34" s="25"/>
      <c r="D34" s="25">
        <v>5</v>
      </c>
      <c r="E34" s="25"/>
      <c r="F34" s="80"/>
      <c r="G34" s="9" t="s">
        <v>492</v>
      </c>
    </row>
    <row r="35" spans="1:15" s="86" customFormat="1" x14ac:dyDescent="0.25">
      <c r="A35" s="22" t="s">
        <v>249</v>
      </c>
      <c r="B35" s="33" t="s">
        <v>438</v>
      </c>
      <c r="C35" s="22">
        <v>20</v>
      </c>
      <c r="D35" s="15"/>
      <c r="E35" s="15"/>
      <c r="F35" s="15"/>
      <c r="G35" s="14"/>
    </row>
    <row r="36" spans="1:15" s="24" customFormat="1" ht="89.25" x14ac:dyDescent="0.25">
      <c r="A36" s="42" t="s">
        <v>446</v>
      </c>
      <c r="B36" s="60" t="s">
        <v>443</v>
      </c>
      <c r="C36" s="60"/>
      <c r="D36" s="42">
        <v>15</v>
      </c>
      <c r="G36" s="9" t="s">
        <v>494</v>
      </c>
      <c r="H36" s="78"/>
      <c r="I36" s="78"/>
      <c r="J36" s="78"/>
      <c r="K36" s="78"/>
      <c r="L36" s="78"/>
      <c r="M36" s="78"/>
      <c r="N36" s="78"/>
      <c r="O36" s="88"/>
    </row>
    <row r="37" spans="1:15" s="24" customFormat="1" x14ac:dyDescent="0.25">
      <c r="A37" s="42" t="s">
        <v>250</v>
      </c>
      <c r="B37" s="60" t="s">
        <v>444</v>
      </c>
      <c r="C37" s="60"/>
      <c r="D37" s="42">
        <v>5</v>
      </c>
      <c r="G37" s="9"/>
      <c r="H37" s="78"/>
      <c r="I37" s="78"/>
      <c r="J37" s="78"/>
      <c r="K37" s="78"/>
      <c r="L37" s="78"/>
      <c r="M37" s="78"/>
      <c r="N37" s="78"/>
      <c r="O37" s="88"/>
    </row>
    <row r="38" spans="1:15" s="86" customFormat="1" x14ac:dyDescent="0.25">
      <c r="A38" s="15"/>
      <c r="B38" s="22" t="s">
        <v>51</v>
      </c>
      <c r="C38" s="22">
        <f>SUM(C3:C37)</f>
        <v>100</v>
      </c>
      <c r="D38" s="15"/>
      <c r="E38" s="22">
        <f>SUM(E3:E37)</f>
        <v>0</v>
      </c>
      <c r="F38" s="112">
        <f>SUM(F3:F37)</f>
        <v>0</v>
      </c>
      <c r="G38" s="14"/>
    </row>
    <row r="41" spans="1:15" x14ac:dyDescent="0.25">
      <c r="A41" s="173" t="s">
        <v>445</v>
      </c>
      <c r="B41" s="173"/>
      <c r="C41" s="173" t="s">
        <v>251</v>
      </c>
      <c r="D41" s="173"/>
      <c r="G41" s="78"/>
    </row>
    <row r="42" spans="1:15" ht="63.75" x14ac:dyDescent="0.25">
      <c r="A42" s="51"/>
      <c r="B42" s="51"/>
      <c r="C42" s="51" t="s">
        <v>562</v>
      </c>
      <c r="D42" s="51" t="s">
        <v>252</v>
      </c>
      <c r="G42" s="22" t="s">
        <v>261</v>
      </c>
    </row>
    <row r="43" spans="1:15" ht="32.25" customHeight="1" x14ac:dyDescent="0.25">
      <c r="A43" s="73" t="s">
        <v>253</v>
      </c>
      <c r="B43" s="24" t="s">
        <v>254</v>
      </c>
      <c r="C43" s="23">
        <v>5</v>
      </c>
      <c r="D43" s="23">
        <v>10</v>
      </c>
      <c r="G43" s="9" t="s">
        <v>449</v>
      </c>
    </row>
    <row r="44" spans="1:15" ht="51" x14ac:dyDescent="0.25">
      <c r="A44" s="73" t="s">
        <v>255</v>
      </c>
      <c r="B44" s="24" t="s">
        <v>256</v>
      </c>
      <c r="C44" s="23">
        <v>10</v>
      </c>
      <c r="D44" s="23">
        <v>5</v>
      </c>
      <c r="G44" s="9" t="s">
        <v>450</v>
      </c>
    </row>
    <row r="45" spans="1:15" x14ac:dyDescent="0.25">
      <c r="A45" s="73" t="s">
        <v>257</v>
      </c>
      <c r="B45" s="24" t="s">
        <v>258</v>
      </c>
      <c r="C45" s="23">
        <v>7</v>
      </c>
      <c r="D45" s="23">
        <v>8</v>
      </c>
      <c r="G45" s="78"/>
    </row>
    <row r="47" spans="1:15" x14ac:dyDescent="0.25">
      <c r="A47" s="174" t="s">
        <v>259</v>
      </c>
      <c r="B47" s="174"/>
      <c r="C47" s="51" t="s">
        <v>260</v>
      </c>
      <c r="G47" s="78"/>
    </row>
    <row r="48" spans="1:15" ht="25.5" x14ac:dyDescent="0.25">
      <c r="A48" s="167" t="s">
        <v>262</v>
      </c>
      <c r="B48" s="24" t="s">
        <v>263</v>
      </c>
      <c r="C48" s="89">
        <v>0.3</v>
      </c>
      <c r="G48" s="78"/>
    </row>
    <row r="49" spans="1:7" ht="12.75" customHeight="1" x14ac:dyDescent="0.25">
      <c r="A49" s="172"/>
      <c r="B49" s="24" t="s">
        <v>447</v>
      </c>
      <c r="C49" s="89">
        <v>0.7</v>
      </c>
      <c r="G49" s="78"/>
    </row>
    <row r="50" spans="1:7" x14ac:dyDescent="0.25">
      <c r="A50" s="168"/>
      <c r="B50" s="170" t="s">
        <v>448</v>
      </c>
      <c r="C50" s="171"/>
      <c r="G50" s="78"/>
    </row>
    <row r="51" spans="1:7" x14ac:dyDescent="0.25">
      <c r="A51" s="167" t="s">
        <v>264</v>
      </c>
      <c r="B51" s="24" t="s">
        <v>265</v>
      </c>
      <c r="C51" s="89">
        <v>0.3</v>
      </c>
    </row>
    <row r="52" spans="1:7" x14ac:dyDescent="0.25">
      <c r="A52" s="168"/>
      <c r="B52" s="24" t="s">
        <v>266</v>
      </c>
      <c r="C52" s="89">
        <v>0.7</v>
      </c>
    </row>
    <row r="53" spans="1:7" ht="26.25" customHeight="1" x14ac:dyDescent="0.25">
      <c r="A53" s="169" t="s">
        <v>451</v>
      </c>
      <c r="B53" s="169"/>
      <c r="C53" s="169"/>
    </row>
    <row r="55" spans="1:7" x14ac:dyDescent="0.25">
      <c r="G55" s="78"/>
    </row>
    <row r="56" spans="1:7" x14ac:dyDescent="0.25">
      <c r="G56" s="78"/>
    </row>
  </sheetData>
  <mergeCells count="33">
    <mergeCell ref="K7:N7"/>
    <mergeCell ref="G23:G24"/>
    <mergeCell ref="G16:G18"/>
    <mergeCell ref="C19:C21"/>
    <mergeCell ref="D19:D21"/>
    <mergeCell ref="E19:E21"/>
    <mergeCell ref="F19:F21"/>
    <mergeCell ref="G19:G21"/>
    <mergeCell ref="C23:C24"/>
    <mergeCell ref="D23:D24"/>
    <mergeCell ref="E23:E24"/>
    <mergeCell ref="D16:D18"/>
    <mergeCell ref="C16:C18"/>
    <mergeCell ref="A53:C53"/>
    <mergeCell ref="F16:F18"/>
    <mergeCell ref="A51:A52"/>
    <mergeCell ref="B50:C50"/>
    <mergeCell ref="A48:A50"/>
    <mergeCell ref="A41:B41"/>
    <mergeCell ref="C41:D41"/>
    <mergeCell ref="A47:B47"/>
    <mergeCell ref="A1:G1"/>
    <mergeCell ref="C2:D2"/>
    <mergeCell ref="A16:A21"/>
    <mergeCell ref="A23:A24"/>
    <mergeCell ref="G28:G30"/>
    <mergeCell ref="A28:A31"/>
    <mergeCell ref="C29:C30"/>
    <mergeCell ref="D29:D30"/>
    <mergeCell ref="E29:E30"/>
    <mergeCell ref="F29:F30"/>
    <mergeCell ref="E16:E18"/>
    <mergeCell ref="F23:F2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4"/>
  <sheetViews>
    <sheetView topLeftCell="A19" zoomScale="90" zoomScaleNormal="90" workbookViewId="0">
      <selection activeCell="G24" sqref="G24:G26"/>
    </sheetView>
  </sheetViews>
  <sheetFormatPr defaultRowHeight="12.75" x14ac:dyDescent="0.25"/>
  <cols>
    <col min="1" max="1" width="16.5703125" style="10" customWidth="1"/>
    <col min="2" max="2" width="51.28515625" style="29" customWidth="1"/>
    <col min="3" max="4" width="8.140625" style="10" customWidth="1"/>
    <col min="5" max="5" width="16" style="10" customWidth="1"/>
    <col min="6" max="6" width="16" style="29" customWidth="1"/>
    <col min="7" max="7" width="68.85546875" style="29" customWidth="1"/>
    <col min="8" max="256" width="9.140625" style="29"/>
    <col min="257" max="257" width="28" style="29" customWidth="1"/>
    <col min="258" max="258" width="62.140625" style="29" customWidth="1"/>
    <col min="259" max="260" width="9.140625" style="29"/>
    <col min="261" max="262" width="0" style="29" hidden="1" customWidth="1"/>
    <col min="263" max="263" width="95.28515625" style="29" customWidth="1"/>
    <col min="264" max="512" width="9.140625" style="29"/>
    <col min="513" max="513" width="28" style="29" customWidth="1"/>
    <col min="514" max="514" width="62.140625" style="29" customWidth="1"/>
    <col min="515" max="516" width="9.140625" style="29"/>
    <col min="517" max="518" width="0" style="29" hidden="1" customWidth="1"/>
    <col min="519" max="519" width="95.28515625" style="29" customWidth="1"/>
    <col min="520" max="768" width="9.140625" style="29"/>
    <col min="769" max="769" width="28" style="29" customWidth="1"/>
    <col min="770" max="770" width="62.140625" style="29" customWidth="1"/>
    <col min="771" max="772" width="9.140625" style="29"/>
    <col min="773" max="774" width="0" style="29" hidden="1" customWidth="1"/>
    <col min="775" max="775" width="95.28515625" style="29" customWidth="1"/>
    <col min="776" max="1024" width="9.140625" style="29"/>
    <col min="1025" max="1025" width="28" style="29" customWidth="1"/>
    <col min="1026" max="1026" width="62.140625" style="29" customWidth="1"/>
    <col min="1027" max="1028" width="9.140625" style="29"/>
    <col min="1029" max="1030" width="0" style="29" hidden="1" customWidth="1"/>
    <col min="1031" max="1031" width="95.28515625" style="29" customWidth="1"/>
    <col min="1032" max="1280" width="9.140625" style="29"/>
    <col min="1281" max="1281" width="28" style="29" customWidth="1"/>
    <col min="1282" max="1282" width="62.140625" style="29" customWidth="1"/>
    <col min="1283" max="1284" width="9.140625" style="29"/>
    <col min="1285" max="1286" width="0" style="29" hidden="1" customWidth="1"/>
    <col min="1287" max="1287" width="95.28515625" style="29" customWidth="1"/>
    <col min="1288" max="1536" width="9.140625" style="29"/>
    <col min="1537" max="1537" width="28" style="29" customWidth="1"/>
    <col min="1538" max="1538" width="62.140625" style="29" customWidth="1"/>
    <col min="1539" max="1540" width="9.140625" style="29"/>
    <col min="1541" max="1542" width="0" style="29" hidden="1" customWidth="1"/>
    <col min="1543" max="1543" width="95.28515625" style="29" customWidth="1"/>
    <col min="1544" max="1792" width="9.140625" style="29"/>
    <col min="1793" max="1793" width="28" style="29" customWidth="1"/>
    <col min="1794" max="1794" width="62.140625" style="29" customWidth="1"/>
    <col min="1795" max="1796" width="9.140625" style="29"/>
    <col min="1797" max="1798" width="0" style="29" hidden="1" customWidth="1"/>
    <col min="1799" max="1799" width="95.28515625" style="29" customWidth="1"/>
    <col min="1800" max="2048" width="9.140625" style="29"/>
    <col min="2049" max="2049" width="28" style="29" customWidth="1"/>
    <col min="2050" max="2050" width="62.140625" style="29" customWidth="1"/>
    <col min="2051" max="2052" width="9.140625" style="29"/>
    <col min="2053" max="2054" width="0" style="29" hidden="1" customWidth="1"/>
    <col min="2055" max="2055" width="95.28515625" style="29" customWidth="1"/>
    <col min="2056" max="2304" width="9.140625" style="29"/>
    <col min="2305" max="2305" width="28" style="29" customWidth="1"/>
    <col min="2306" max="2306" width="62.140625" style="29" customWidth="1"/>
    <col min="2307" max="2308" width="9.140625" style="29"/>
    <col min="2309" max="2310" width="0" style="29" hidden="1" customWidth="1"/>
    <col min="2311" max="2311" width="95.28515625" style="29" customWidth="1"/>
    <col min="2312" max="2560" width="9.140625" style="29"/>
    <col min="2561" max="2561" width="28" style="29" customWidth="1"/>
    <col min="2562" max="2562" width="62.140625" style="29" customWidth="1"/>
    <col min="2563" max="2564" width="9.140625" style="29"/>
    <col min="2565" max="2566" width="0" style="29" hidden="1" customWidth="1"/>
    <col min="2567" max="2567" width="95.28515625" style="29" customWidth="1"/>
    <col min="2568" max="2816" width="9.140625" style="29"/>
    <col min="2817" max="2817" width="28" style="29" customWidth="1"/>
    <col min="2818" max="2818" width="62.140625" style="29" customWidth="1"/>
    <col min="2819" max="2820" width="9.140625" style="29"/>
    <col min="2821" max="2822" width="0" style="29" hidden="1" customWidth="1"/>
    <col min="2823" max="2823" width="95.28515625" style="29" customWidth="1"/>
    <col min="2824" max="3072" width="9.140625" style="29"/>
    <col min="3073" max="3073" width="28" style="29" customWidth="1"/>
    <col min="3074" max="3074" width="62.140625" style="29" customWidth="1"/>
    <col min="3075" max="3076" width="9.140625" style="29"/>
    <col min="3077" max="3078" width="0" style="29" hidden="1" customWidth="1"/>
    <col min="3079" max="3079" width="95.28515625" style="29" customWidth="1"/>
    <col min="3080" max="3328" width="9.140625" style="29"/>
    <col min="3329" max="3329" width="28" style="29" customWidth="1"/>
    <col min="3330" max="3330" width="62.140625" style="29" customWidth="1"/>
    <col min="3331" max="3332" width="9.140625" style="29"/>
    <col min="3333" max="3334" width="0" style="29" hidden="1" customWidth="1"/>
    <col min="3335" max="3335" width="95.28515625" style="29" customWidth="1"/>
    <col min="3336" max="3584" width="9.140625" style="29"/>
    <col min="3585" max="3585" width="28" style="29" customWidth="1"/>
    <col min="3586" max="3586" width="62.140625" style="29" customWidth="1"/>
    <col min="3587" max="3588" width="9.140625" style="29"/>
    <col min="3589" max="3590" width="0" style="29" hidden="1" customWidth="1"/>
    <col min="3591" max="3591" width="95.28515625" style="29" customWidth="1"/>
    <col min="3592" max="3840" width="9.140625" style="29"/>
    <col min="3841" max="3841" width="28" style="29" customWidth="1"/>
    <col min="3842" max="3842" width="62.140625" style="29" customWidth="1"/>
    <col min="3843" max="3844" width="9.140625" style="29"/>
    <col min="3845" max="3846" width="0" style="29" hidden="1" customWidth="1"/>
    <col min="3847" max="3847" width="95.28515625" style="29" customWidth="1"/>
    <col min="3848" max="4096" width="9.140625" style="29"/>
    <col min="4097" max="4097" width="28" style="29" customWidth="1"/>
    <col min="4098" max="4098" width="62.140625" style="29" customWidth="1"/>
    <col min="4099" max="4100" width="9.140625" style="29"/>
    <col min="4101" max="4102" width="0" style="29" hidden="1" customWidth="1"/>
    <col min="4103" max="4103" width="95.28515625" style="29" customWidth="1"/>
    <col min="4104" max="4352" width="9.140625" style="29"/>
    <col min="4353" max="4353" width="28" style="29" customWidth="1"/>
    <col min="4354" max="4354" width="62.140625" style="29" customWidth="1"/>
    <col min="4355" max="4356" width="9.140625" style="29"/>
    <col min="4357" max="4358" width="0" style="29" hidden="1" customWidth="1"/>
    <col min="4359" max="4359" width="95.28515625" style="29" customWidth="1"/>
    <col min="4360" max="4608" width="9.140625" style="29"/>
    <col min="4609" max="4609" width="28" style="29" customWidth="1"/>
    <col min="4610" max="4610" width="62.140625" style="29" customWidth="1"/>
    <col min="4611" max="4612" width="9.140625" style="29"/>
    <col min="4613" max="4614" width="0" style="29" hidden="1" customWidth="1"/>
    <col min="4615" max="4615" width="95.28515625" style="29" customWidth="1"/>
    <col min="4616" max="4864" width="9.140625" style="29"/>
    <col min="4865" max="4865" width="28" style="29" customWidth="1"/>
    <col min="4866" max="4866" width="62.140625" style="29" customWidth="1"/>
    <col min="4867" max="4868" width="9.140625" style="29"/>
    <col min="4869" max="4870" width="0" style="29" hidden="1" customWidth="1"/>
    <col min="4871" max="4871" width="95.28515625" style="29" customWidth="1"/>
    <col min="4872" max="5120" width="9.140625" style="29"/>
    <col min="5121" max="5121" width="28" style="29" customWidth="1"/>
    <col min="5122" max="5122" width="62.140625" style="29" customWidth="1"/>
    <col min="5123" max="5124" width="9.140625" style="29"/>
    <col min="5125" max="5126" width="0" style="29" hidden="1" customWidth="1"/>
    <col min="5127" max="5127" width="95.28515625" style="29" customWidth="1"/>
    <col min="5128" max="5376" width="9.140625" style="29"/>
    <col min="5377" max="5377" width="28" style="29" customWidth="1"/>
    <col min="5378" max="5378" width="62.140625" style="29" customWidth="1"/>
    <col min="5379" max="5380" width="9.140625" style="29"/>
    <col min="5381" max="5382" width="0" style="29" hidden="1" customWidth="1"/>
    <col min="5383" max="5383" width="95.28515625" style="29" customWidth="1"/>
    <col min="5384" max="5632" width="9.140625" style="29"/>
    <col min="5633" max="5633" width="28" style="29" customWidth="1"/>
    <col min="5634" max="5634" width="62.140625" style="29" customWidth="1"/>
    <col min="5635" max="5636" width="9.140625" style="29"/>
    <col min="5637" max="5638" width="0" style="29" hidden="1" customWidth="1"/>
    <col min="5639" max="5639" width="95.28515625" style="29" customWidth="1"/>
    <col min="5640" max="5888" width="9.140625" style="29"/>
    <col min="5889" max="5889" width="28" style="29" customWidth="1"/>
    <col min="5890" max="5890" width="62.140625" style="29" customWidth="1"/>
    <col min="5891" max="5892" width="9.140625" style="29"/>
    <col min="5893" max="5894" width="0" style="29" hidden="1" customWidth="1"/>
    <col min="5895" max="5895" width="95.28515625" style="29" customWidth="1"/>
    <col min="5896" max="6144" width="9.140625" style="29"/>
    <col min="6145" max="6145" width="28" style="29" customWidth="1"/>
    <col min="6146" max="6146" width="62.140625" style="29" customWidth="1"/>
    <col min="6147" max="6148" width="9.140625" style="29"/>
    <col min="6149" max="6150" width="0" style="29" hidden="1" customWidth="1"/>
    <col min="6151" max="6151" width="95.28515625" style="29" customWidth="1"/>
    <col min="6152" max="6400" width="9.140625" style="29"/>
    <col min="6401" max="6401" width="28" style="29" customWidth="1"/>
    <col min="6402" max="6402" width="62.140625" style="29" customWidth="1"/>
    <col min="6403" max="6404" width="9.140625" style="29"/>
    <col min="6405" max="6406" width="0" style="29" hidden="1" customWidth="1"/>
    <col min="6407" max="6407" width="95.28515625" style="29" customWidth="1"/>
    <col min="6408" max="6656" width="9.140625" style="29"/>
    <col min="6657" max="6657" width="28" style="29" customWidth="1"/>
    <col min="6658" max="6658" width="62.140625" style="29" customWidth="1"/>
    <col min="6659" max="6660" width="9.140625" style="29"/>
    <col min="6661" max="6662" width="0" style="29" hidden="1" customWidth="1"/>
    <col min="6663" max="6663" width="95.28515625" style="29" customWidth="1"/>
    <col min="6664" max="6912" width="9.140625" style="29"/>
    <col min="6913" max="6913" width="28" style="29" customWidth="1"/>
    <col min="6914" max="6914" width="62.140625" style="29" customWidth="1"/>
    <col min="6915" max="6916" width="9.140625" style="29"/>
    <col min="6917" max="6918" width="0" style="29" hidden="1" customWidth="1"/>
    <col min="6919" max="6919" width="95.28515625" style="29" customWidth="1"/>
    <col min="6920" max="7168" width="9.140625" style="29"/>
    <col min="7169" max="7169" width="28" style="29" customWidth="1"/>
    <col min="7170" max="7170" width="62.140625" style="29" customWidth="1"/>
    <col min="7171" max="7172" width="9.140625" style="29"/>
    <col min="7173" max="7174" width="0" style="29" hidden="1" customWidth="1"/>
    <col min="7175" max="7175" width="95.28515625" style="29" customWidth="1"/>
    <col min="7176" max="7424" width="9.140625" style="29"/>
    <col min="7425" max="7425" width="28" style="29" customWidth="1"/>
    <col min="7426" max="7426" width="62.140625" style="29" customWidth="1"/>
    <col min="7427" max="7428" width="9.140625" style="29"/>
    <col min="7429" max="7430" width="0" style="29" hidden="1" customWidth="1"/>
    <col min="7431" max="7431" width="95.28515625" style="29" customWidth="1"/>
    <col min="7432" max="7680" width="9.140625" style="29"/>
    <col min="7681" max="7681" width="28" style="29" customWidth="1"/>
    <col min="7682" max="7682" width="62.140625" style="29" customWidth="1"/>
    <col min="7683" max="7684" width="9.140625" style="29"/>
    <col min="7685" max="7686" width="0" style="29" hidden="1" customWidth="1"/>
    <col min="7687" max="7687" width="95.28515625" style="29" customWidth="1"/>
    <col min="7688" max="7936" width="9.140625" style="29"/>
    <col min="7937" max="7937" width="28" style="29" customWidth="1"/>
    <col min="7938" max="7938" width="62.140625" style="29" customWidth="1"/>
    <col min="7939" max="7940" width="9.140625" style="29"/>
    <col min="7941" max="7942" width="0" style="29" hidden="1" customWidth="1"/>
    <col min="7943" max="7943" width="95.28515625" style="29" customWidth="1"/>
    <col min="7944" max="8192" width="9.140625" style="29"/>
    <col min="8193" max="8193" width="28" style="29" customWidth="1"/>
    <col min="8194" max="8194" width="62.140625" style="29" customWidth="1"/>
    <col min="8195" max="8196" width="9.140625" style="29"/>
    <col min="8197" max="8198" width="0" style="29" hidden="1" customWidth="1"/>
    <col min="8199" max="8199" width="95.28515625" style="29" customWidth="1"/>
    <col min="8200" max="8448" width="9.140625" style="29"/>
    <col min="8449" max="8449" width="28" style="29" customWidth="1"/>
    <col min="8450" max="8450" width="62.140625" style="29" customWidth="1"/>
    <col min="8451" max="8452" width="9.140625" style="29"/>
    <col min="8453" max="8454" width="0" style="29" hidden="1" customWidth="1"/>
    <col min="8455" max="8455" width="95.28515625" style="29" customWidth="1"/>
    <col min="8456" max="8704" width="9.140625" style="29"/>
    <col min="8705" max="8705" width="28" style="29" customWidth="1"/>
    <col min="8706" max="8706" width="62.140625" style="29" customWidth="1"/>
    <col min="8707" max="8708" width="9.140625" style="29"/>
    <col min="8709" max="8710" width="0" style="29" hidden="1" customWidth="1"/>
    <col min="8711" max="8711" width="95.28515625" style="29" customWidth="1"/>
    <col min="8712" max="8960" width="9.140625" style="29"/>
    <col min="8961" max="8961" width="28" style="29" customWidth="1"/>
    <col min="8962" max="8962" width="62.140625" style="29" customWidth="1"/>
    <col min="8963" max="8964" width="9.140625" style="29"/>
    <col min="8965" max="8966" width="0" style="29" hidden="1" customWidth="1"/>
    <col min="8967" max="8967" width="95.28515625" style="29" customWidth="1"/>
    <col min="8968" max="9216" width="9.140625" style="29"/>
    <col min="9217" max="9217" width="28" style="29" customWidth="1"/>
    <col min="9218" max="9218" width="62.140625" style="29" customWidth="1"/>
    <col min="9219" max="9220" width="9.140625" style="29"/>
    <col min="9221" max="9222" width="0" style="29" hidden="1" customWidth="1"/>
    <col min="9223" max="9223" width="95.28515625" style="29" customWidth="1"/>
    <col min="9224" max="9472" width="9.140625" style="29"/>
    <col min="9473" max="9473" width="28" style="29" customWidth="1"/>
    <col min="9474" max="9474" width="62.140625" style="29" customWidth="1"/>
    <col min="9475" max="9476" width="9.140625" style="29"/>
    <col min="9477" max="9478" width="0" style="29" hidden="1" customWidth="1"/>
    <col min="9479" max="9479" width="95.28515625" style="29" customWidth="1"/>
    <col min="9480" max="9728" width="9.140625" style="29"/>
    <col min="9729" max="9729" width="28" style="29" customWidth="1"/>
    <col min="9730" max="9730" width="62.140625" style="29" customWidth="1"/>
    <col min="9731" max="9732" width="9.140625" style="29"/>
    <col min="9733" max="9734" width="0" style="29" hidden="1" customWidth="1"/>
    <col min="9735" max="9735" width="95.28515625" style="29" customWidth="1"/>
    <col min="9736" max="9984" width="9.140625" style="29"/>
    <col min="9985" max="9985" width="28" style="29" customWidth="1"/>
    <col min="9986" max="9986" width="62.140625" style="29" customWidth="1"/>
    <col min="9987" max="9988" width="9.140625" style="29"/>
    <col min="9989" max="9990" width="0" style="29" hidden="1" customWidth="1"/>
    <col min="9991" max="9991" width="95.28515625" style="29" customWidth="1"/>
    <col min="9992" max="10240" width="9.140625" style="29"/>
    <col min="10241" max="10241" width="28" style="29" customWidth="1"/>
    <col min="10242" max="10242" width="62.140625" style="29" customWidth="1"/>
    <col min="10243" max="10244" width="9.140625" style="29"/>
    <col min="10245" max="10246" width="0" style="29" hidden="1" customWidth="1"/>
    <col min="10247" max="10247" width="95.28515625" style="29" customWidth="1"/>
    <col min="10248" max="10496" width="9.140625" style="29"/>
    <col min="10497" max="10497" width="28" style="29" customWidth="1"/>
    <col min="10498" max="10498" width="62.140625" style="29" customWidth="1"/>
    <col min="10499" max="10500" width="9.140625" style="29"/>
    <col min="10501" max="10502" width="0" style="29" hidden="1" customWidth="1"/>
    <col min="10503" max="10503" width="95.28515625" style="29" customWidth="1"/>
    <col min="10504" max="10752" width="9.140625" style="29"/>
    <col min="10753" max="10753" width="28" style="29" customWidth="1"/>
    <col min="10754" max="10754" width="62.140625" style="29" customWidth="1"/>
    <col min="10755" max="10756" width="9.140625" style="29"/>
    <col min="10757" max="10758" width="0" style="29" hidden="1" customWidth="1"/>
    <col min="10759" max="10759" width="95.28515625" style="29" customWidth="1"/>
    <col min="10760" max="11008" width="9.140625" style="29"/>
    <col min="11009" max="11009" width="28" style="29" customWidth="1"/>
    <col min="11010" max="11010" width="62.140625" style="29" customWidth="1"/>
    <col min="11011" max="11012" width="9.140625" style="29"/>
    <col min="11013" max="11014" width="0" style="29" hidden="1" customWidth="1"/>
    <col min="11015" max="11015" width="95.28515625" style="29" customWidth="1"/>
    <col min="11016" max="11264" width="9.140625" style="29"/>
    <col min="11265" max="11265" width="28" style="29" customWidth="1"/>
    <col min="11266" max="11266" width="62.140625" style="29" customWidth="1"/>
    <col min="11267" max="11268" width="9.140625" style="29"/>
    <col min="11269" max="11270" width="0" style="29" hidden="1" customWidth="1"/>
    <col min="11271" max="11271" width="95.28515625" style="29" customWidth="1"/>
    <col min="11272" max="11520" width="9.140625" style="29"/>
    <col min="11521" max="11521" width="28" style="29" customWidth="1"/>
    <col min="11522" max="11522" width="62.140625" style="29" customWidth="1"/>
    <col min="11523" max="11524" width="9.140625" style="29"/>
    <col min="11525" max="11526" width="0" style="29" hidden="1" customWidth="1"/>
    <col min="11527" max="11527" width="95.28515625" style="29" customWidth="1"/>
    <col min="11528" max="11776" width="9.140625" style="29"/>
    <col min="11777" max="11777" width="28" style="29" customWidth="1"/>
    <col min="11778" max="11778" width="62.140625" style="29" customWidth="1"/>
    <col min="11779" max="11780" width="9.140625" style="29"/>
    <col min="11781" max="11782" width="0" style="29" hidden="1" customWidth="1"/>
    <col min="11783" max="11783" width="95.28515625" style="29" customWidth="1"/>
    <col min="11784" max="12032" width="9.140625" style="29"/>
    <col min="12033" max="12033" width="28" style="29" customWidth="1"/>
    <col min="12034" max="12034" width="62.140625" style="29" customWidth="1"/>
    <col min="12035" max="12036" width="9.140625" style="29"/>
    <col min="12037" max="12038" width="0" style="29" hidden="1" customWidth="1"/>
    <col min="12039" max="12039" width="95.28515625" style="29" customWidth="1"/>
    <col min="12040" max="12288" width="9.140625" style="29"/>
    <col min="12289" max="12289" width="28" style="29" customWidth="1"/>
    <col min="12290" max="12290" width="62.140625" style="29" customWidth="1"/>
    <col min="12291" max="12292" width="9.140625" style="29"/>
    <col min="12293" max="12294" width="0" style="29" hidden="1" customWidth="1"/>
    <col min="12295" max="12295" width="95.28515625" style="29" customWidth="1"/>
    <col min="12296" max="12544" width="9.140625" style="29"/>
    <col min="12545" max="12545" width="28" style="29" customWidth="1"/>
    <col min="12546" max="12546" width="62.140625" style="29" customWidth="1"/>
    <col min="12547" max="12548" width="9.140625" style="29"/>
    <col min="12549" max="12550" width="0" style="29" hidden="1" customWidth="1"/>
    <col min="12551" max="12551" width="95.28515625" style="29" customWidth="1"/>
    <col min="12552" max="12800" width="9.140625" style="29"/>
    <col min="12801" max="12801" width="28" style="29" customWidth="1"/>
    <col min="12802" max="12802" width="62.140625" style="29" customWidth="1"/>
    <col min="12803" max="12804" width="9.140625" style="29"/>
    <col min="12805" max="12806" width="0" style="29" hidden="1" customWidth="1"/>
    <col min="12807" max="12807" width="95.28515625" style="29" customWidth="1"/>
    <col min="12808" max="13056" width="9.140625" style="29"/>
    <col min="13057" max="13057" width="28" style="29" customWidth="1"/>
    <col min="13058" max="13058" width="62.140625" style="29" customWidth="1"/>
    <col min="13059" max="13060" width="9.140625" style="29"/>
    <col min="13061" max="13062" width="0" style="29" hidden="1" customWidth="1"/>
    <col min="13063" max="13063" width="95.28515625" style="29" customWidth="1"/>
    <col min="13064" max="13312" width="9.140625" style="29"/>
    <col min="13313" max="13313" width="28" style="29" customWidth="1"/>
    <col min="13314" max="13314" width="62.140625" style="29" customWidth="1"/>
    <col min="13315" max="13316" width="9.140625" style="29"/>
    <col min="13317" max="13318" width="0" style="29" hidden="1" customWidth="1"/>
    <col min="13319" max="13319" width="95.28515625" style="29" customWidth="1"/>
    <col min="13320" max="13568" width="9.140625" style="29"/>
    <col min="13569" max="13569" width="28" style="29" customWidth="1"/>
    <col min="13570" max="13570" width="62.140625" style="29" customWidth="1"/>
    <col min="13571" max="13572" width="9.140625" style="29"/>
    <col min="13573" max="13574" width="0" style="29" hidden="1" customWidth="1"/>
    <col min="13575" max="13575" width="95.28515625" style="29" customWidth="1"/>
    <col min="13576" max="13824" width="9.140625" style="29"/>
    <col min="13825" max="13825" width="28" style="29" customWidth="1"/>
    <col min="13826" max="13826" width="62.140625" style="29" customWidth="1"/>
    <col min="13827" max="13828" width="9.140625" style="29"/>
    <col min="13829" max="13830" width="0" style="29" hidden="1" customWidth="1"/>
    <col min="13831" max="13831" width="95.28515625" style="29" customWidth="1"/>
    <col min="13832" max="14080" width="9.140625" style="29"/>
    <col min="14081" max="14081" width="28" style="29" customWidth="1"/>
    <col min="14082" max="14082" width="62.140625" style="29" customWidth="1"/>
    <col min="14083" max="14084" width="9.140625" style="29"/>
    <col min="14085" max="14086" width="0" style="29" hidden="1" customWidth="1"/>
    <col min="14087" max="14087" width="95.28515625" style="29" customWidth="1"/>
    <col min="14088" max="14336" width="9.140625" style="29"/>
    <col min="14337" max="14337" width="28" style="29" customWidth="1"/>
    <col min="14338" max="14338" width="62.140625" style="29" customWidth="1"/>
    <col min="14339" max="14340" width="9.140625" style="29"/>
    <col min="14341" max="14342" width="0" style="29" hidden="1" customWidth="1"/>
    <col min="14343" max="14343" width="95.28515625" style="29" customWidth="1"/>
    <col min="14344" max="14592" width="9.140625" style="29"/>
    <col min="14593" max="14593" width="28" style="29" customWidth="1"/>
    <col min="14594" max="14594" width="62.140625" style="29" customWidth="1"/>
    <col min="14595" max="14596" width="9.140625" style="29"/>
    <col min="14597" max="14598" width="0" style="29" hidden="1" customWidth="1"/>
    <col min="14599" max="14599" width="95.28515625" style="29" customWidth="1"/>
    <col min="14600" max="14848" width="9.140625" style="29"/>
    <col min="14849" max="14849" width="28" style="29" customWidth="1"/>
    <col min="14850" max="14850" width="62.140625" style="29" customWidth="1"/>
    <col min="14851" max="14852" width="9.140625" style="29"/>
    <col min="14853" max="14854" width="0" style="29" hidden="1" customWidth="1"/>
    <col min="14855" max="14855" width="95.28515625" style="29" customWidth="1"/>
    <col min="14856" max="15104" width="9.140625" style="29"/>
    <col min="15105" max="15105" width="28" style="29" customWidth="1"/>
    <col min="15106" max="15106" width="62.140625" style="29" customWidth="1"/>
    <col min="15107" max="15108" width="9.140625" style="29"/>
    <col min="15109" max="15110" width="0" style="29" hidden="1" customWidth="1"/>
    <col min="15111" max="15111" width="95.28515625" style="29" customWidth="1"/>
    <col min="15112" max="15360" width="9.140625" style="29"/>
    <col min="15361" max="15361" width="28" style="29" customWidth="1"/>
    <col min="15362" max="15362" width="62.140625" style="29" customWidth="1"/>
    <col min="15363" max="15364" width="9.140625" style="29"/>
    <col min="15365" max="15366" width="0" style="29" hidden="1" customWidth="1"/>
    <col min="15367" max="15367" width="95.28515625" style="29" customWidth="1"/>
    <col min="15368" max="15616" width="9.140625" style="29"/>
    <col min="15617" max="15617" width="28" style="29" customWidth="1"/>
    <col min="15618" max="15618" width="62.140625" style="29" customWidth="1"/>
    <col min="15619" max="15620" width="9.140625" style="29"/>
    <col min="15621" max="15622" width="0" style="29" hidden="1" customWidth="1"/>
    <col min="15623" max="15623" width="95.28515625" style="29" customWidth="1"/>
    <col min="15624" max="15872" width="9.140625" style="29"/>
    <col min="15873" max="15873" width="28" style="29" customWidth="1"/>
    <col min="15874" max="15874" width="62.140625" style="29" customWidth="1"/>
    <col min="15875" max="15876" width="9.140625" style="29"/>
    <col min="15877" max="15878" width="0" style="29" hidden="1" customWidth="1"/>
    <col min="15879" max="15879" width="95.28515625" style="29" customWidth="1"/>
    <col min="15880" max="16128" width="9.140625" style="29"/>
    <col min="16129" max="16129" width="28" style="29" customWidth="1"/>
    <col min="16130" max="16130" width="62.140625" style="29" customWidth="1"/>
    <col min="16131" max="16132" width="9.140625" style="29"/>
    <col min="16133" max="16134" width="0" style="29" hidden="1" customWidth="1"/>
    <col min="16135" max="16135" width="95.28515625" style="29" customWidth="1"/>
    <col min="16136" max="16384" width="9.140625" style="29"/>
  </cols>
  <sheetData>
    <row r="1" spans="1:7" s="61" customFormat="1" x14ac:dyDescent="0.25">
      <c r="A1" s="141" t="s">
        <v>486</v>
      </c>
      <c r="B1" s="141"/>
      <c r="C1" s="141"/>
      <c r="D1" s="141"/>
      <c r="E1" s="141"/>
      <c r="F1" s="141"/>
      <c r="G1" s="141"/>
    </row>
    <row r="2" spans="1:7" s="10" customFormat="1" ht="38.25" x14ac:dyDescent="0.25">
      <c r="A2" s="43" t="s">
        <v>0</v>
      </c>
      <c r="B2" s="43" t="s">
        <v>1</v>
      </c>
      <c r="C2" s="141" t="s">
        <v>2</v>
      </c>
      <c r="D2" s="141"/>
      <c r="E2" s="43" t="s">
        <v>3</v>
      </c>
      <c r="F2" s="28" t="s">
        <v>4</v>
      </c>
      <c r="G2" s="28" t="s">
        <v>5</v>
      </c>
    </row>
    <row r="3" spans="1:7" ht="89.25" x14ac:dyDescent="0.25">
      <c r="A3" s="22" t="s">
        <v>452</v>
      </c>
      <c r="B3" s="33" t="s">
        <v>267</v>
      </c>
      <c r="C3" s="22"/>
      <c r="D3" s="22"/>
      <c r="E3" s="33"/>
      <c r="F3" s="33"/>
      <c r="G3" s="65" t="s">
        <v>268</v>
      </c>
    </row>
    <row r="4" spans="1:7" s="61" customFormat="1" x14ac:dyDescent="0.25">
      <c r="A4" s="22" t="s">
        <v>454</v>
      </c>
      <c r="B4" s="33" t="s">
        <v>269</v>
      </c>
      <c r="C4" s="22">
        <v>10</v>
      </c>
      <c r="D4" s="15"/>
      <c r="E4" s="15"/>
      <c r="F4" s="65"/>
      <c r="G4" s="65"/>
    </row>
    <row r="5" spans="1:7" ht="63.75" x14ac:dyDescent="0.25">
      <c r="A5" s="23" t="s">
        <v>270</v>
      </c>
      <c r="B5" s="60" t="s">
        <v>271</v>
      </c>
      <c r="C5" s="23"/>
      <c r="D5" s="23">
        <v>5</v>
      </c>
      <c r="E5" s="23"/>
      <c r="F5" s="60"/>
      <c r="G5" s="24" t="s">
        <v>455</v>
      </c>
    </row>
    <row r="6" spans="1:7" ht="59.25" customHeight="1" x14ac:dyDescent="0.25">
      <c r="A6" s="23" t="s">
        <v>272</v>
      </c>
      <c r="B6" s="60" t="s">
        <v>396</v>
      </c>
      <c r="C6" s="23"/>
      <c r="D6" s="42">
        <v>5</v>
      </c>
      <c r="E6" s="42"/>
      <c r="F6" s="60"/>
      <c r="G6" s="60" t="s">
        <v>456</v>
      </c>
    </row>
    <row r="7" spans="1:7" s="61" customFormat="1" x14ac:dyDescent="0.25">
      <c r="A7" s="22" t="s">
        <v>273</v>
      </c>
      <c r="B7" s="33" t="s">
        <v>161</v>
      </c>
      <c r="C7" s="22">
        <v>10</v>
      </c>
      <c r="D7" s="15"/>
      <c r="E7" s="15"/>
      <c r="F7" s="65"/>
      <c r="G7" s="65"/>
    </row>
    <row r="8" spans="1:7" ht="76.5" x14ac:dyDescent="0.25">
      <c r="A8" s="23" t="s">
        <v>274</v>
      </c>
      <c r="B8" s="60" t="s">
        <v>400</v>
      </c>
      <c r="C8" s="23"/>
      <c r="D8" s="42">
        <v>5</v>
      </c>
      <c r="E8" s="42"/>
      <c r="F8" s="24"/>
      <c r="G8" s="24" t="s">
        <v>488</v>
      </c>
    </row>
    <row r="9" spans="1:7" ht="38.25" x14ac:dyDescent="0.25">
      <c r="A9" s="23" t="s">
        <v>457</v>
      </c>
      <c r="B9" s="60" t="s">
        <v>241</v>
      </c>
      <c r="C9" s="23"/>
      <c r="D9" s="42">
        <v>5</v>
      </c>
      <c r="E9" s="42"/>
      <c r="F9" s="24"/>
      <c r="G9" s="24" t="s">
        <v>458</v>
      </c>
    </row>
    <row r="10" spans="1:7" s="61" customFormat="1" x14ac:dyDescent="0.25">
      <c r="A10" s="22" t="s">
        <v>275</v>
      </c>
      <c r="B10" s="33" t="s">
        <v>276</v>
      </c>
      <c r="C10" s="22">
        <v>10</v>
      </c>
      <c r="D10" s="15"/>
      <c r="E10" s="15"/>
      <c r="F10" s="65"/>
      <c r="G10" s="65"/>
    </row>
    <row r="11" spans="1:7" ht="102" x14ac:dyDescent="0.25">
      <c r="A11" s="23" t="s">
        <v>277</v>
      </c>
      <c r="B11" s="60" t="s">
        <v>461</v>
      </c>
      <c r="C11" s="23"/>
      <c r="D11" s="42">
        <v>5</v>
      </c>
      <c r="E11" s="42"/>
      <c r="F11" s="24" t="s">
        <v>278</v>
      </c>
      <c r="G11" s="24" t="s">
        <v>459</v>
      </c>
    </row>
    <row r="12" spans="1:7" ht="25.5" x14ac:dyDescent="0.25">
      <c r="A12" s="23" t="s">
        <v>279</v>
      </c>
      <c r="B12" s="60" t="s">
        <v>462</v>
      </c>
      <c r="C12" s="23"/>
      <c r="D12" s="42">
        <v>5</v>
      </c>
      <c r="E12" s="42"/>
      <c r="F12" s="24"/>
      <c r="G12" s="24" t="s">
        <v>460</v>
      </c>
    </row>
    <row r="13" spans="1:7" s="61" customFormat="1" x14ac:dyDescent="0.25">
      <c r="A13" s="22" t="s">
        <v>280</v>
      </c>
      <c r="B13" s="33" t="s">
        <v>281</v>
      </c>
      <c r="C13" s="22">
        <v>35</v>
      </c>
      <c r="D13" s="15"/>
      <c r="E13" s="15"/>
      <c r="F13" s="65"/>
      <c r="G13" s="33"/>
    </row>
    <row r="14" spans="1:7" s="61" customFormat="1" ht="22.5" customHeight="1" x14ac:dyDescent="0.25">
      <c r="A14" s="142" t="s">
        <v>282</v>
      </c>
      <c r="B14" s="53" t="s">
        <v>463</v>
      </c>
      <c r="C14" s="141"/>
      <c r="D14" s="142">
        <v>20</v>
      </c>
      <c r="E14" s="142"/>
      <c r="F14" s="142"/>
      <c r="G14" s="145" t="s">
        <v>464</v>
      </c>
    </row>
    <row r="15" spans="1:7" ht="12.75" customHeight="1" x14ac:dyDescent="0.25">
      <c r="A15" s="142"/>
      <c r="B15" s="24" t="s">
        <v>466</v>
      </c>
      <c r="C15" s="141"/>
      <c r="D15" s="142"/>
      <c r="E15" s="142"/>
      <c r="F15" s="142"/>
      <c r="G15" s="145"/>
    </row>
    <row r="16" spans="1:7" x14ac:dyDescent="0.25">
      <c r="A16" s="142"/>
      <c r="B16" s="24" t="s">
        <v>467</v>
      </c>
      <c r="C16" s="141"/>
      <c r="D16" s="142"/>
      <c r="E16" s="142"/>
      <c r="F16" s="142"/>
      <c r="G16" s="145"/>
    </row>
    <row r="17" spans="1:7" x14ac:dyDescent="0.25">
      <c r="A17" s="142"/>
      <c r="B17" s="24" t="s">
        <v>468</v>
      </c>
      <c r="C17" s="141"/>
      <c r="D17" s="142"/>
      <c r="E17" s="142"/>
      <c r="F17" s="142"/>
      <c r="G17" s="145"/>
    </row>
    <row r="18" spans="1:7" x14ac:dyDescent="0.25">
      <c r="A18" s="142"/>
      <c r="B18" s="24" t="s">
        <v>469</v>
      </c>
      <c r="C18" s="141"/>
      <c r="D18" s="142"/>
      <c r="E18" s="142"/>
      <c r="F18" s="142"/>
      <c r="G18" s="145"/>
    </row>
    <row r="19" spans="1:7" ht="24.75" customHeight="1" x14ac:dyDescent="0.25">
      <c r="A19" s="142" t="s">
        <v>283</v>
      </c>
      <c r="B19" s="53" t="s">
        <v>284</v>
      </c>
      <c r="C19" s="141"/>
      <c r="D19" s="142">
        <v>15</v>
      </c>
      <c r="E19" s="142"/>
      <c r="F19" s="142"/>
      <c r="G19" s="159" t="s">
        <v>465</v>
      </c>
    </row>
    <row r="20" spans="1:7" ht="24.75" customHeight="1" x14ac:dyDescent="0.25">
      <c r="A20" s="142"/>
      <c r="B20" s="24" t="s">
        <v>470</v>
      </c>
      <c r="C20" s="141"/>
      <c r="D20" s="142"/>
      <c r="E20" s="142"/>
      <c r="F20" s="142"/>
      <c r="G20" s="159"/>
    </row>
    <row r="21" spans="1:7" s="61" customFormat="1" ht="24.75" customHeight="1" x14ac:dyDescent="0.25">
      <c r="A21" s="142"/>
      <c r="B21" s="24" t="s">
        <v>471</v>
      </c>
      <c r="C21" s="141"/>
      <c r="D21" s="142"/>
      <c r="E21" s="142"/>
      <c r="F21" s="142"/>
      <c r="G21" s="159"/>
    </row>
    <row r="22" spans="1:7" ht="24.75" customHeight="1" x14ac:dyDescent="0.25">
      <c r="A22" s="142"/>
      <c r="B22" s="24" t="s">
        <v>472</v>
      </c>
      <c r="C22" s="141"/>
      <c r="D22" s="142"/>
      <c r="E22" s="142"/>
      <c r="F22" s="142"/>
      <c r="G22" s="159"/>
    </row>
    <row r="23" spans="1:7" s="61" customFormat="1" x14ac:dyDescent="0.25">
      <c r="A23" s="22" t="s">
        <v>285</v>
      </c>
      <c r="B23" s="33" t="s">
        <v>473</v>
      </c>
      <c r="C23" s="22">
        <v>15</v>
      </c>
      <c r="D23" s="15"/>
      <c r="E23" s="15"/>
      <c r="F23" s="65"/>
      <c r="G23" s="33"/>
    </row>
    <row r="24" spans="1:7" s="61" customFormat="1" ht="22.5" customHeight="1" x14ac:dyDescent="0.25">
      <c r="A24" s="169"/>
      <c r="B24" s="24" t="s">
        <v>483</v>
      </c>
      <c r="C24" s="169"/>
      <c r="D24" s="169"/>
      <c r="E24" s="142"/>
      <c r="F24" s="142"/>
      <c r="G24" s="159" t="s">
        <v>567</v>
      </c>
    </row>
    <row r="25" spans="1:7" ht="22.5" customHeight="1" x14ac:dyDescent="0.25">
      <c r="A25" s="169"/>
      <c r="B25" s="24" t="s">
        <v>484</v>
      </c>
      <c r="C25" s="169"/>
      <c r="D25" s="169"/>
      <c r="E25" s="142"/>
      <c r="F25" s="142"/>
      <c r="G25" s="159"/>
    </row>
    <row r="26" spans="1:7" ht="22.5" customHeight="1" x14ac:dyDescent="0.25">
      <c r="A26" s="169"/>
      <c r="B26" s="24" t="s">
        <v>485</v>
      </c>
      <c r="C26" s="169"/>
      <c r="D26" s="169"/>
      <c r="E26" s="142"/>
      <c r="F26" s="142"/>
      <c r="G26" s="159"/>
    </row>
    <row r="27" spans="1:7" s="61" customFormat="1" x14ac:dyDescent="0.25">
      <c r="A27" s="22" t="s">
        <v>286</v>
      </c>
      <c r="B27" s="33" t="s">
        <v>287</v>
      </c>
      <c r="C27" s="22">
        <v>20</v>
      </c>
      <c r="D27" s="15"/>
      <c r="E27" s="15"/>
      <c r="F27" s="65"/>
      <c r="G27" s="65"/>
    </row>
    <row r="28" spans="1:7" s="95" customFormat="1" ht="14.25" customHeight="1" x14ac:dyDescent="0.25">
      <c r="A28" s="142" t="s">
        <v>474</v>
      </c>
      <c r="B28" s="60" t="s">
        <v>475</v>
      </c>
      <c r="C28" s="141"/>
      <c r="D28" s="142">
        <v>10</v>
      </c>
      <c r="E28" s="142"/>
      <c r="F28" s="142"/>
      <c r="G28" s="159" t="s">
        <v>476</v>
      </c>
    </row>
    <row r="29" spans="1:7" ht="14.25" customHeight="1" x14ac:dyDescent="0.25">
      <c r="A29" s="142"/>
      <c r="B29" s="24" t="s">
        <v>478</v>
      </c>
      <c r="C29" s="141"/>
      <c r="D29" s="142"/>
      <c r="E29" s="142"/>
      <c r="F29" s="142"/>
      <c r="G29" s="159"/>
    </row>
    <row r="30" spans="1:7" ht="33.75" customHeight="1" x14ac:dyDescent="0.25">
      <c r="A30" s="142"/>
      <c r="B30" s="24" t="s">
        <v>479</v>
      </c>
      <c r="C30" s="141"/>
      <c r="D30" s="142"/>
      <c r="E30" s="142"/>
      <c r="F30" s="142"/>
      <c r="G30" s="159"/>
    </row>
    <row r="31" spans="1:7" s="61" customFormat="1" ht="17.25" customHeight="1" x14ac:dyDescent="0.25">
      <c r="A31" s="142" t="s">
        <v>288</v>
      </c>
      <c r="B31" s="60" t="s">
        <v>482</v>
      </c>
      <c r="C31" s="141"/>
      <c r="D31" s="142">
        <v>10</v>
      </c>
      <c r="E31" s="142"/>
      <c r="F31" s="142"/>
      <c r="G31" s="159" t="s">
        <v>477</v>
      </c>
    </row>
    <row r="32" spans="1:7" ht="17.25" customHeight="1" x14ac:dyDescent="0.25">
      <c r="A32" s="142"/>
      <c r="B32" s="24" t="s">
        <v>480</v>
      </c>
      <c r="C32" s="141"/>
      <c r="D32" s="142"/>
      <c r="E32" s="142"/>
      <c r="F32" s="142"/>
      <c r="G32" s="159"/>
    </row>
    <row r="33" spans="1:7" ht="17.25" customHeight="1" x14ac:dyDescent="0.25">
      <c r="A33" s="142"/>
      <c r="B33" s="24" t="s">
        <v>481</v>
      </c>
      <c r="C33" s="141"/>
      <c r="D33" s="142"/>
      <c r="E33" s="142"/>
      <c r="F33" s="142"/>
      <c r="G33" s="159"/>
    </row>
    <row r="34" spans="1:7" x14ac:dyDescent="0.25">
      <c r="A34" s="15"/>
      <c r="B34" s="22" t="s">
        <v>51</v>
      </c>
      <c r="C34" s="22">
        <f>SUM(C4:C31)</f>
        <v>100</v>
      </c>
      <c r="D34" s="112"/>
      <c r="E34" s="112">
        <f>SUM(E4:E33)</f>
        <v>0</v>
      </c>
      <c r="F34" s="112">
        <f>SUM(F4:F33)</f>
        <v>0</v>
      </c>
      <c r="G34" s="65"/>
    </row>
  </sheetData>
  <mergeCells count="32">
    <mergeCell ref="D31:D33"/>
    <mergeCell ref="E31:E33"/>
    <mergeCell ref="F31:F33"/>
    <mergeCell ref="G28:G30"/>
    <mergeCell ref="A14:A18"/>
    <mergeCell ref="A19:A22"/>
    <mergeCell ref="C14:C18"/>
    <mergeCell ref="D14:D18"/>
    <mergeCell ref="E14:E18"/>
    <mergeCell ref="F14:F18"/>
    <mergeCell ref="G14:G18"/>
    <mergeCell ref="C19:C22"/>
    <mergeCell ref="D19:D22"/>
    <mergeCell ref="E19:E22"/>
    <mergeCell ref="F19:F22"/>
    <mergeCell ref="G19:G22"/>
    <mergeCell ref="A31:A33"/>
    <mergeCell ref="A1:G1"/>
    <mergeCell ref="C2:D2"/>
    <mergeCell ref="G24:G26"/>
    <mergeCell ref="A24:A26"/>
    <mergeCell ref="D28:D30"/>
    <mergeCell ref="C28:C30"/>
    <mergeCell ref="E28:E30"/>
    <mergeCell ref="F28:F30"/>
    <mergeCell ref="A28:A30"/>
    <mergeCell ref="G31:G33"/>
    <mergeCell ref="C24:C26"/>
    <mergeCell ref="D24:D26"/>
    <mergeCell ref="E24:E26"/>
    <mergeCell ref="F24:F26"/>
    <mergeCell ref="C31:C3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1"/>
  <sheetViews>
    <sheetView topLeftCell="A4" zoomScale="96" zoomScaleNormal="96" workbookViewId="0">
      <selection activeCell="G31" sqref="G31"/>
    </sheetView>
  </sheetViews>
  <sheetFormatPr defaultRowHeight="12.75" x14ac:dyDescent="0.25"/>
  <cols>
    <col min="1" max="1" width="16.140625" style="2" customWidth="1"/>
    <col min="2" max="2" width="33.42578125" style="49" customWidth="1"/>
    <col min="3" max="4" width="11.42578125" style="2" customWidth="1"/>
    <col min="5" max="5" width="17.7109375" style="2" customWidth="1"/>
    <col min="6" max="6" width="16.140625" style="2" customWidth="1"/>
    <col min="7" max="7" width="66.5703125" style="1" customWidth="1"/>
    <col min="8" max="254" width="9.140625" style="49"/>
    <col min="255" max="255" width="16.140625" style="49" customWidth="1"/>
    <col min="256" max="256" width="33.42578125" style="49" customWidth="1"/>
    <col min="257" max="258" width="11.42578125" style="49" customWidth="1"/>
    <col min="259" max="259" width="17.7109375" style="49" customWidth="1"/>
    <col min="260" max="261" width="16.140625" style="49" customWidth="1"/>
    <col min="262" max="510" width="9.140625" style="49"/>
    <col min="511" max="511" width="16.140625" style="49" customWidth="1"/>
    <col min="512" max="512" width="33.42578125" style="49" customWidth="1"/>
    <col min="513" max="514" width="11.42578125" style="49" customWidth="1"/>
    <col min="515" max="515" width="17.7109375" style="49" customWidth="1"/>
    <col min="516" max="517" width="16.140625" style="49" customWidth="1"/>
    <col min="518" max="766" width="9.140625" style="49"/>
    <col min="767" max="767" width="16.140625" style="49" customWidth="1"/>
    <col min="768" max="768" width="33.42578125" style="49" customWidth="1"/>
    <col min="769" max="770" width="11.42578125" style="49" customWidth="1"/>
    <col min="771" max="771" width="17.7109375" style="49" customWidth="1"/>
    <col min="772" max="773" width="16.140625" style="49" customWidth="1"/>
    <col min="774" max="1022" width="9.140625" style="49"/>
    <col min="1023" max="1023" width="16.140625" style="49" customWidth="1"/>
    <col min="1024" max="1024" width="33.42578125" style="49" customWidth="1"/>
    <col min="1025" max="1026" width="11.42578125" style="49" customWidth="1"/>
    <col min="1027" max="1027" width="17.7109375" style="49" customWidth="1"/>
    <col min="1028" max="1029" width="16.140625" style="49" customWidth="1"/>
    <col min="1030" max="1278" width="9.140625" style="49"/>
    <col min="1279" max="1279" width="16.140625" style="49" customWidth="1"/>
    <col min="1280" max="1280" width="33.42578125" style="49" customWidth="1"/>
    <col min="1281" max="1282" width="11.42578125" style="49" customWidth="1"/>
    <col min="1283" max="1283" width="17.7109375" style="49" customWidth="1"/>
    <col min="1284" max="1285" width="16.140625" style="49" customWidth="1"/>
    <col min="1286" max="1534" width="9.140625" style="49"/>
    <col min="1535" max="1535" width="16.140625" style="49" customWidth="1"/>
    <col min="1536" max="1536" width="33.42578125" style="49" customWidth="1"/>
    <col min="1537" max="1538" width="11.42578125" style="49" customWidth="1"/>
    <col min="1539" max="1539" width="17.7109375" style="49" customWidth="1"/>
    <col min="1540" max="1541" width="16.140625" style="49" customWidth="1"/>
    <col min="1542" max="1790" width="9.140625" style="49"/>
    <col min="1791" max="1791" width="16.140625" style="49" customWidth="1"/>
    <col min="1792" max="1792" width="33.42578125" style="49" customWidth="1"/>
    <col min="1793" max="1794" width="11.42578125" style="49" customWidth="1"/>
    <col min="1795" max="1795" width="17.7109375" style="49" customWidth="1"/>
    <col min="1796" max="1797" width="16.140625" style="49" customWidth="1"/>
    <col min="1798" max="2046" width="9.140625" style="49"/>
    <col min="2047" max="2047" width="16.140625" style="49" customWidth="1"/>
    <col min="2048" max="2048" width="33.42578125" style="49" customWidth="1"/>
    <col min="2049" max="2050" width="11.42578125" style="49" customWidth="1"/>
    <col min="2051" max="2051" width="17.7109375" style="49" customWidth="1"/>
    <col min="2052" max="2053" width="16.140625" style="49" customWidth="1"/>
    <col min="2054" max="2302" width="9.140625" style="49"/>
    <col min="2303" max="2303" width="16.140625" style="49" customWidth="1"/>
    <col min="2304" max="2304" width="33.42578125" style="49" customWidth="1"/>
    <col min="2305" max="2306" width="11.42578125" style="49" customWidth="1"/>
    <col min="2307" max="2307" width="17.7109375" style="49" customWidth="1"/>
    <col min="2308" max="2309" width="16.140625" style="49" customWidth="1"/>
    <col min="2310" max="2558" width="9.140625" style="49"/>
    <col min="2559" max="2559" width="16.140625" style="49" customWidth="1"/>
    <col min="2560" max="2560" width="33.42578125" style="49" customWidth="1"/>
    <col min="2561" max="2562" width="11.42578125" style="49" customWidth="1"/>
    <col min="2563" max="2563" width="17.7109375" style="49" customWidth="1"/>
    <col min="2564" max="2565" width="16.140625" style="49" customWidth="1"/>
    <col min="2566" max="2814" width="9.140625" style="49"/>
    <col min="2815" max="2815" width="16.140625" style="49" customWidth="1"/>
    <col min="2816" max="2816" width="33.42578125" style="49" customWidth="1"/>
    <col min="2817" max="2818" width="11.42578125" style="49" customWidth="1"/>
    <col min="2819" max="2819" width="17.7109375" style="49" customWidth="1"/>
    <col min="2820" max="2821" width="16.140625" style="49" customWidth="1"/>
    <col min="2822" max="3070" width="9.140625" style="49"/>
    <col min="3071" max="3071" width="16.140625" style="49" customWidth="1"/>
    <col min="3072" max="3072" width="33.42578125" style="49" customWidth="1"/>
    <col min="3073" max="3074" width="11.42578125" style="49" customWidth="1"/>
    <col min="3075" max="3075" width="17.7109375" style="49" customWidth="1"/>
    <col min="3076" max="3077" width="16.140625" style="49" customWidth="1"/>
    <col min="3078" max="3326" width="9.140625" style="49"/>
    <col min="3327" max="3327" width="16.140625" style="49" customWidth="1"/>
    <col min="3328" max="3328" width="33.42578125" style="49" customWidth="1"/>
    <col min="3329" max="3330" width="11.42578125" style="49" customWidth="1"/>
    <col min="3331" max="3331" width="17.7109375" style="49" customWidth="1"/>
    <col min="3332" max="3333" width="16.140625" style="49" customWidth="1"/>
    <col min="3334" max="3582" width="9.140625" style="49"/>
    <col min="3583" max="3583" width="16.140625" style="49" customWidth="1"/>
    <col min="3584" max="3584" width="33.42578125" style="49" customWidth="1"/>
    <col min="3585" max="3586" width="11.42578125" style="49" customWidth="1"/>
    <col min="3587" max="3587" width="17.7109375" style="49" customWidth="1"/>
    <col min="3588" max="3589" width="16.140625" style="49" customWidth="1"/>
    <col min="3590" max="3838" width="9.140625" style="49"/>
    <col min="3839" max="3839" width="16.140625" style="49" customWidth="1"/>
    <col min="3840" max="3840" width="33.42578125" style="49" customWidth="1"/>
    <col min="3841" max="3842" width="11.42578125" style="49" customWidth="1"/>
    <col min="3843" max="3843" width="17.7109375" style="49" customWidth="1"/>
    <col min="3844" max="3845" width="16.140625" style="49" customWidth="1"/>
    <col min="3846" max="4094" width="9.140625" style="49"/>
    <col min="4095" max="4095" width="16.140625" style="49" customWidth="1"/>
    <col min="4096" max="4096" width="33.42578125" style="49" customWidth="1"/>
    <col min="4097" max="4098" width="11.42578125" style="49" customWidth="1"/>
    <col min="4099" max="4099" width="17.7109375" style="49" customWidth="1"/>
    <col min="4100" max="4101" width="16.140625" style="49" customWidth="1"/>
    <col min="4102" max="4350" width="9.140625" style="49"/>
    <col min="4351" max="4351" width="16.140625" style="49" customWidth="1"/>
    <col min="4352" max="4352" width="33.42578125" style="49" customWidth="1"/>
    <col min="4353" max="4354" width="11.42578125" style="49" customWidth="1"/>
    <col min="4355" max="4355" width="17.7109375" style="49" customWidth="1"/>
    <col min="4356" max="4357" width="16.140625" style="49" customWidth="1"/>
    <col min="4358" max="4606" width="9.140625" style="49"/>
    <col min="4607" max="4607" width="16.140625" style="49" customWidth="1"/>
    <col min="4608" max="4608" width="33.42578125" style="49" customWidth="1"/>
    <col min="4609" max="4610" width="11.42578125" style="49" customWidth="1"/>
    <col min="4611" max="4611" width="17.7109375" style="49" customWidth="1"/>
    <col min="4612" max="4613" width="16.140625" style="49" customWidth="1"/>
    <col min="4614" max="4862" width="9.140625" style="49"/>
    <col min="4863" max="4863" width="16.140625" style="49" customWidth="1"/>
    <col min="4864" max="4864" width="33.42578125" style="49" customWidth="1"/>
    <col min="4865" max="4866" width="11.42578125" style="49" customWidth="1"/>
    <col min="4867" max="4867" width="17.7109375" style="49" customWidth="1"/>
    <col min="4868" max="4869" width="16.140625" style="49" customWidth="1"/>
    <col min="4870" max="5118" width="9.140625" style="49"/>
    <col min="5119" max="5119" width="16.140625" style="49" customWidth="1"/>
    <col min="5120" max="5120" width="33.42578125" style="49" customWidth="1"/>
    <col min="5121" max="5122" width="11.42578125" style="49" customWidth="1"/>
    <col min="5123" max="5123" width="17.7109375" style="49" customWidth="1"/>
    <col min="5124" max="5125" width="16.140625" style="49" customWidth="1"/>
    <col min="5126" max="5374" width="9.140625" style="49"/>
    <col min="5375" max="5375" width="16.140625" style="49" customWidth="1"/>
    <col min="5376" max="5376" width="33.42578125" style="49" customWidth="1"/>
    <col min="5377" max="5378" width="11.42578125" style="49" customWidth="1"/>
    <col min="5379" max="5379" width="17.7109375" style="49" customWidth="1"/>
    <col min="5380" max="5381" width="16.140625" style="49" customWidth="1"/>
    <col min="5382" max="5630" width="9.140625" style="49"/>
    <col min="5631" max="5631" width="16.140625" style="49" customWidth="1"/>
    <col min="5632" max="5632" width="33.42578125" style="49" customWidth="1"/>
    <col min="5633" max="5634" width="11.42578125" style="49" customWidth="1"/>
    <col min="5635" max="5635" width="17.7109375" style="49" customWidth="1"/>
    <col min="5636" max="5637" width="16.140625" style="49" customWidth="1"/>
    <col min="5638" max="5886" width="9.140625" style="49"/>
    <col min="5887" max="5887" width="16.140625" style="49" customWidth="1"/>
    <col min="5888" max="5888" width="33.42578125" style="49" customWidth="1"/>
    <col min="5889" max="5890" width="11.42578125" style="49" customWidth="1"/>
    <col min="5891" max="5891" width="17.7109375" style="49" customWidth="1"/>
    <col min="5892" max="5893" width="16.140625" style="49" customWidth="1"/>
    <col min="5894" max="6142" width="9.140625" style="49"/>
    <col min="6143" max="6143" width="16.140625" style="49" customWidth="1"/>
    <col min="6144" max="6144" width="33.42578125" style="49" customWidth="1"/>
    <col min="6145" max="6146" width="11.42578125" style="49" customWidth="1"/>
    <col min="6147" max="6147" width="17.7109375" style="49" customWidth="1"/>
    <col min="6148" max="6149" width="16.140625" style="49" customWidth="1"/>
    <col min="6150" max="6398" width="9.140625" style="49"/>
    <col min="6399" max="6399" width="16.140625" style="49" customWidth="1"/>
    <col min="6400" max="6400" width="33.42578125" style="49" customWidth="1"/>
    <col min="6401" max="6402" width="11.42578125" style="49" customWidth="1"/>
    <col min="6403" max="6403" width="17.7109375" style="49" customWidth="1"/>
    <col min="6404" max="6405" width="16.140625" style="49" customWidth="1"/>
    <col min="6406" max="6654" width="9.140625" style="49"/>
    <col min="6655" max="6655" width="16.140625" style="49" customWidth="1"/>
    <col min="6656" max="6656" width="33.42578125" style="49" customWidth="1"/>
    <col min="6657" max="6658" width="11.42578125" style="49" customWidth="1"/>
    <col min="6659" max="6659" width="17.7109375" style="49" customWidth="1"/>
    <col min="6660" max="6661" width="16.140625" style="49" customWidth="1"/>
    <col min="6662" max="6910" width="9.140625" style="49"/>
    <col min="6911" max="6911" width="16.140625" style="49" customWidth="1"/>
    <col min="6912" max="6912" width="33.42578125" style="49" customWidth="1"/>
    <col min="6913" max="6914" width="11.42578125" style="49" customWidth="1"/>
    <col min="6915" max="6915" width="17.7109375" style="49" customWidth="1"/>
    <col min="6916" max="6917" width="16.140625" style="49" customWidth="1"/>
    <col min="6918" max="7166" width="9.140625" style="49"/>
    <col min="7167" max="7167" width="16.140625" style="49" customWidth="1"/>
    <col min="7168" max="7168" width="33.42578125" style="49" customWidth="1"/>
    <col min="7169" max="7170" width="11.42578125" style="49" customWidth="1"/>
    <col min="7171" max="7171" width="17.7109375" style="49" customWidth="1"/>
    <col min="7172" max="7173" width="16.140625" style="49" customWidth="1"/>
    <col min="7174" max="7422" width="9.140625" style="49"/>
    <col min="7423" max="7423" width="16.140625" style="49" customWidth="1"/>
    <col min="7424" max="7424" width="33.42578125" style="49" customWidth="1"/>
    <col min="7425" max="7426" width="11.42578125" style="49" customWidth="1"/>
    <col min="7427" max="7427" width="17.7109375" style="49" customWidth="1"/>
    <col min="7428" max="7429" width="16.140625" style="49" customWidth="1"/>
    <col min="7430" max="7678" width="9.140625" style="49"/>
    <col min="7679" max="7679" width="16.140625" style="49" customWidth="1"/>
    <col min="7680" max="7680" width="33.42578125" style="49" customWidth="1"/>
    <col min="7681" max="7682" width="11.42578125" style="49" customWidth="1"/>
    <col min="7683" max="7683" width="17.7109375" style="49" customWidth="1"/>
    <col min="7684" max="7685" width="16.140625" style="49" customWidth="1"/>
    <col min="7686" max="7934" width="9.140625" style="49"/>
    <col min="7935" max="7935" width="16.140625" style="49" customWidth="1"/>
    <col min="7936" max="7936" width="33.42578125" style="49" customWidth="1"/>
    <col min="7937" max="7938" width="11.42578125" style="49" customWidth="1"/>
    <col min="7939" max="7939" width="17.7109375" style="49" customWidth="1"/>
    <col min="7940" max="7941" width="16.140625" style="49" customWidth="1"/>
    <col min="7942" max="8190" width="9.140625" style="49"/>
    <col min="8191" max="8191" width="16.140625" style="49" customWidth="1"/>
    <col min="8192" max="8192" width="33.42578125" style="49" customWidth="1"/>
    <col min="8193" max="8194" width="11.42578125" style="49" customWidth="1"/>
    <col min="8195" max="8195" width="17.7109375" style="49" customWidth="1"/>
    <col min="8196" max="8197" width="16.140625" style="49" customWidth="1"/>
    <col min="8198" max="8446" width="9.140625" style="49"/>
    <col min="8447" max="8447" width="16.140625" style="49" customWidth="1"/>
    <col min="8448" max="8448" width="33.42578125" style="49" customWidth="1"/>
    <col min="8449" max="8450" width="11.42578125" style="49" customWidth="1"/>
    <col min="8451" max="8451" width="17.7109375" style="49" customWidth="1"/>
    <col min="8452" max="8453" width="16.140625" style="49" customWidth="1"/>
    <col min="8454" max="8702" width="9.140625" style="49"/>
    <col min="8703" max="8703" width="16.140625" style="49" customWidth="1"/>
    <col min="8704" max="8704" width="33.42578125" style="49" customWidth="1"/>
    <col min="8705" max="8706" width="11.42578125" style="49" customWidth="1"/>
    <col min="8707" max="8707" width="17.7109375" style="49" customWidth="1"/>
    <col min="8708" max="8709" width="16.140625" style="49" customWidth="1"/>
    <col min="8710" max="8958" width="9.140625" style="49"/>
    <col min="8959" max="8959" width="16.140625" style="49" customWidth="1"/>
    <col min="8960" max="8960" width="33.42578125" style="49" customWidth="1"/>
    <col min="8961" max="8962" width="11.42578125" style="49" customWidth="1"/>
    <col min="8963" max="8963" width="17.7109375" style="49" customWidth="1"/>
    <col min="8964" max="8965" width="16.140625" style="49" customWidth="1"/>
    <col min="8966" max="9214" width="9.140625" style="49"/>
    <col min="9215" max="9215" width="16.140625" style="49" customWidth="1"/>
    <col min="9216" max="9216" width="33.42578125" style="49" customWidth="1"/>
    <col min="9217" max="9218" width="11.42578125" style="49" customWidth="1"/>
    <col min="9219" max="9219" width="17.7109375" style="49" customWidth="1"/>
    <col min="9220" max="9221" width="16.140625" style="49" customWidth="1"/>
    <col min="9222" max="9470" width="9.140625" style="49"/>
    <col min="9471" max="9471" width="16.140625" style="49" customWidth="1"/>
    <col min="9472" max="9472" width="33.42578125" style="49" customWidth="1"/>
    <col min="9473" max="9474" width="11.42578125" style="49" customWidth="1"/>
    <col min="9475" max="9475" width="17.7109375" style="49" customWidth="1"/>
    <col min="9476" max="9477" width="16.140625" style="49" customWidth="1"/>
    <col min="9478" max="9726" width="9.140625" style="49"/>
    <col min="9727" max="9727" width="16.140625" style="49" customWidth="1"/>
    <col min="9728" max="9728" width="33.42578125" style="49" customWidth="1"/>
    <col min="9729" max="9730" width="11.42578125" style="49" customWidth="1"/>
    <col min="9731" max="9731" width="17.7109375" style="49" customWidth="1"/>
    <col min="9732" max="9733" width="16.140625" style="49" customWidth="1"/>
    <col min="9734" max="9982" width="9.140625" style="49"/>
    <col min="9983" max="9983" width="16.140625" style="49" customWidth="1"/>
    <col min="9984" max="9984" width="33.42578125" style="49" customWidth="1"/>
    <col min="9985" max="9986" width="11.42578125" style="49" customWidth="1"/>
    <col min="9987" max="9987" width="17.7109375" style="49" customWidth="1"/>
    <col min="9988" max="9989" width="16.140625" style="49" customWidth="1"/>
    <col min="9990" max="10238" width="9.140625" style="49"/>
    <col min="10239" max="10239" width="16.140625" style="49" customWidth="1"/>
    <col min="10240" max="10240" width="33.42578125" style="49" customWidth="1"/>
    <col min="10241" max="10242" width="11.42578125" style="49" customWidth="1"/>
    <col min="10243" max="10243" width="17.7109375" style="49" customWidth="1"/>
    <col min="10244" max="10245" width="16.140625" style="49" customWidth="1"/>
    <col min="10246" max="10494" width="9.140625" style="49"/>
    <col min="10495" max="10495" width="16.140625" style="49" customWidth="1"/>
    <col min="10496" max="10496" width="33.42578125" style="49" customWidth="1"/>
    <col min="10497" max="10498" width="11.42578125" style="49" customWidth="1"/>
    <col min="10499" max="10499" width="17.7109375" style="49" customWidth="1"/>
    <col min="10500" max="10501" width="16.140625" style="49" customWidth="1"/>
    <col min="10502" max="10750" width="9.140625" style="49"/>
    <col min="10751" max="10751" width="16.140625" style="49" customWidth="1"/>
    <col min="10752" max="10752" width="33.42578125" style="49" customWidth="1"/>
    <col min="10753" max="10754" width="11.42578125" style="49" customWidth="1"/>
    <col min="10755" max="10755" width="17.7109375" style="49" customWidth="1"/>
    <col min="10756" max="10757" width="16.140625" style="49" customWidth="1"/>
    <col min="10758" max="11006" width="9.140625" style="49"/>
    <col min="11007" max="11007" width="16.140625" style="49" customWidth="1"/>
    <col min="11008" max="11008" width="33.42578125" style="49" customWidth="1"/>
    <col min="11009" max="11010" width="11.42578125" style="49" customWidth="1"/>
    <col min="11011" max="11011" width="17.7109375" style="49" customWidth="1"/>
    <col min="11012" max="11013" width="16.140625" style="49" customWidth="1"/>
    <col min="11014" max="11262" width="9.140625" style="49"/>
    <col min="11263" max="11263" width="16.140625" style="49" customWidth="1"/>
    <col min="11264" max="11264" width="33.42578125" style="49" customWidth="1"/>
    <col min="11265" max="11266" width="11.42578125" style="49" customWidth="1"/>
    <col min="11267" max="11267" width="17.7109375" style="49" customWidth="1"/>
    <col min="11268" max="11269" width="16.140625" style="49" customWidth="1"/>
    <col min="11270" max="11518" width="9.140625" style="49"/>
    <col min="11519" max="11519" width="16.140625" style="49" customWidth="1"/>
    <col min="11520" max="11520" width="33.42578125" style="49" customWidth="1"/>
    <col min="11521" max="11522" width="11.42578125" style="49" customWidth="1"/>
    <col min="11523" max="11523" width="17.7109375" style="49" customWidth="1"/>
    <col min="11524" max="11525" width="16.140625" style="49" customWidth="1"/>
    <col min="11526" max="11774" width="9.140625" style="49"/>
    <col min="11775" max="11775" width="16.140625" style="49" customWidth="1"/>
    <col min="11776" max="11776" width="33.42578125" style="49" customWidth="1"/>
    <col min="11777" max="11778" width="11.42578125" style="49" customWidth="1"/>
    <col min="11779" max="11779" width="17.7109375" style="49" customWidth="1"/>
    <col min="11780" max="11781" width="16.140625" style="49" customWidth="1"/>
    <col min="11782" max="12030" width="9.140625" style="49"/>
    <col min="12031" max="12031" width="16.140625" style="49" customWidth="1"/>
    <col min="12032" max="12032" width="33.42578125" style="49" customWidth="1"/>
    <col min="12033" max="12034" width="11.42578125" style="49" customWidth="1"/>
    <col min="12035" max="12035" width="17.7109375" style="49" customWidth="1"/>
    <col min="12036" max="12037" width="16.140625" style="49" customWidth="1"/>
    <col min="12038" max="12286" width="9.140625" style="49"/>
    <col min="12287" max="12287" width="16.140625" style="49" customWidth="1"/>
    <col min="12288" max="12288" width="33.42578125" style="49" customWidth="1"/>
    <col min="12289" max="12290" width="11.42578125" style="49" customWidth="1"/>
    <col min="12291" max="12291" width="17.7109375" style="49" customWidth="1"/>
    <col min="12292" max="12293" width="16.140625" style="49" customWidth="1"/>
    <col min="12294" max="12542" width="9.140625" style="49"/>
    <col min="12543" max="12543" width="16.140625" style="49" customWidth="1"/>
    <col min="12544" max="12544" width="33.42578125" style="49" customWidth="1"/>
    <col min="12545" max="12546" width="11.42578125" style="49" customWidth="1"/>
    <col min="12547" max="12547" width="17.7109375" style="49" customWidth="1"/>
    <col min="12548" max="12549" width="16.140625" style="49" customWidth="1"/>
    <col min="12550" max="12798" width="9.140625" style="49"/>
    <col min="12799" max="12799" width="16.140625" style="49" customWidth="1"/>
    <col min="12800" max="12800" width="33.42578125" style="49" customWidth="1"/>
    <col min="12801" max="12802" width="11.42578125" style="49" customWidth="1"/>
    <col min="12803" max="12803" width="17.7109375" style="49" customWidth="1"/>
    <col min="12804" max="12805" width="16.140625" style="49" customWidth="1"/>
    <col min="12806" max="13054" width="9.140625" style="49"/>
    <col min="13055" max="13055" width="16.140625" style="49" customWidth="1"/>
    <col min="13056" max="13056" width="33.42578125" style="49" customWidth="1"/>
    <col min="13057" max="13058" width="11.42578125" style="49" customWidth="1"/>
    <col min="13059" max="13059" width="17.7109375" style="49" customWidth="1"/>
    <col min="13060" max="13061" width="16.140625" style="49" customWidth="1"/>
    <col min="13062" max="13310" width="9.140625" style="49"/>
    <col min="13311" max="13311" width="16.140625" style="49" customWidth="1"/>
    <col min="13312" max="13312" width="33.42578125" style="49" customWidth="1"/>
    <col min="13313" max="13314" width="11.42578125" style="49" customWidth="1"/>
    <col min="13315" max="13315" width="17.7109375" style="49" customWidth="1"/>
    <col min="13316" max="13317" width="16.140625" style="49" customWidth="1"/>
    <col min="13318" max="13566" width="9.140625" style="49"/>
    <col min="13567" max="13567" width="16.140625" style="49" customWidth="1"/>
    <col min="13568" max="13568" width="33.42578125" style="49" customWidth="1"/>
    <col min="13569" max="13570" width="11.42578125" style="49" customWidth="1"/>
    <col min="13571" max="13571" width="17.7109375" style="49" customWidth="1"/>
    <col min="13572" max="13573" width="16.140625" style="49" customWidth="1"/>
    <col min="13574" max="13822" width="9.140625" style="49"/>
    <col min="13823" max="13823" width="16.140625" style="49" customWidth="1"/>
    <col min="13824" max="13824" width="33.42578125" style="49" customWidth="1"/>
    <col min="13825" max="13826" width="11.42578125" style="49" customWidth="1"/>
    <col min="13827" max="13827" width="17.7109375" style="49" customWidth="1"/>
    <col min="13828" max="13829" width="16.140625" style="49" customWidth="1"/>
    <col min="13830" max="14078" width="9.140625" style="49"/>
    <col min="14079" max="14079" width="16.140625" style="49" customWidth="1"/>
    <col min="14080" max="14080" width="33.42578125" style="49" customWidth="1"/>
    <col min="14081" max="14082" width="11.42578125" style="49" customWidth="1"/>
    <col min="14083" max="14083" width="17.7109375" style="49" customWidth="1"/>
    <col min="14084" max="14085" width="16.140625" style="49" customWidth="1"/>
    <col min="14086" max="14334" width="9.140625" style="49"/>
    <col min="14335" max="14335" width="16.140625" style="49" customWidth="1"/>
    <col min="14336" max="14336" width="33.42578125" style="49" customWidth="1"/>
    <col min="14337" max="14338" width="11.42578125" style="49" customWidth="1"/>
    <col min="14339" max="14339" width="17.7109375" style="49" customWidth="1"/>
    <col min="14340" max="14341" width="16.140625" style="49" customWidth="1"/>
    <col min="14342" max="14590" width="9.140625" style="49"/>
    <col min="14591" max="14591" width="16.140625" style="49" customWidth="1"/>
    <col min="14592" max="14592" width="33.42578125" style="49" customWidth="1"/>
    <col min="14593" max="14594" width="11.42578125" style="49" customWidth="1"/>
    <col min="14595" max="14595" width="17.7109375" style="49" customWidth="1"/>
    <col min="14596" max="14597" width="16.140625" style="49" customWidth="1"/>
    <col min="14598" max="14846" width="9.140625" style="49"/>
    <col min="14847" max="14847" width="16.140625" style="49" customWidth="1"/>
    <col min="14848" max="14848" width="33.42578125" style="49" customWidth="1"/>
    <col min="14849" max="14850" width="11.42578125" style="49" customWidth="1"/>
    <col min="14851" max="14851" width="17.7109375" style="49" customWidth="1"/>
    <col min="14852" max="14853" width="16.140625" style="49" customWidth="1"/>
    <col min="14854" max="15102" width="9.140625" style="49"/>
    <col min="15103" max="15103" width="16.140625" style="49" customWidth="1"/>
    <col min="15104" max="15104" width="33.42578125" style="49" customWidth="1"/>
    <col min="15105" max="15106" width="11.42578125" style="49" customWidth="1"/>
    <col min="15107" max="15107" width="17.7109375" style="49" customWidth="1"/>
    <col min="15108" max="15109" width="16.140625" style="49" customWidth="1"/>
    <col min="15110" max="15358" width="9.140625" style="49"/>
    <col min="15359" max="15359" width="16.140625" style="49" customWidth="1"/>
    <col min="15360" max="15360" width="33.42578125" style="49" customWidth="1"/>
    <col min="15361" max="15362" width="11.42578125" style="49" customWidth="1"/>
    <col min="15363" max="15363" width="17.7109375" style="49" customWidth="1"/>
    <col min="15364" max="15365" width="16.140625" style="49" customWidth="1"/>
    <col min="15366" max="15614" width="9.140625" style="49"/>
    <col min="15615" max="15615" width="16.140625" style="49" customWidth="1"/>
    <col min="15616" max="15616" width="33.42578125" style="49" customWidth="1"/>
    <col min="15617" max="15618" width="11.42578125" style="49" customWidth="1"/>
    <col min="15619" max="15619" width="17.7109375" style="49" customWidth="1"/>
    <col min="15620" max="15621" width="16.140625" style="49" customWidth="1"/>
    <col min="15622" max="15870" width="9.140625" style="49"/>
    <col min="15871" max="15871" width="16.140625" style="49" customWidth="1"/>
    <col min="15872" max="15872" width="33.42578125" style="49" customWidth="1"/>
    <col min="15873" max="15874" width="11.42578125" style="49" customWidth="1"/>
    <col min="15875" max="15875" width="17.7109375" style="49" customWidth="1"/>
    <col min="15876" max="15877" width="16.140625" style="49" customWidth="1"/>
    <col min="15878" max="16126" width="9.140625" style="49"/>
    <col min="16127" max="16127" width="16.140625" style="49" customWidth="1"/>
    <col min="16128" max="16128" width="33.42578125" style="49" customWidth="1"/>
    <col min="16129" max="16130" width="11.42578125" style="49" customWidth="1"/>
    <col min="16131" max="16131" width="17.7109375" style="49" customWidth="1"/>
    <col min="16132" max="16133" width="16.140625" style="49" customWidth="1"/>
    <col min="16134" max="16384" width="9.140625" style="49"/>
  </cols>
  <sheetData>
    <row r="1" spans="1:7" x14ac:dyDescent="0.25">
      <c r="A1" s="185" t="s">
        <v>55</v>
      </c>
      <c r="B1" s="185"/>
      <c r="C1" s="185"/>
      <c r="D1" s="185"/>
      <c r="E1" s="185"/>
      <c r="F1" s="185"/>
      <c r="G1" s="185"/>
    </row>
    <row r="2" spans="1:7" s="2" customFormat="1" ht="25.5" x14ac:dyDescent="0.25">
      <c r="A2" s="18" t="s">
        <v>0</v>
      </c>
      <c r="B2" s="18" t="s">
        <v>1</v>
      </c>
      <c r="C2" s="186" t="s">
        <v>2</v>
      </c>
      <c r="D2" s="186"/>
      <c r="E2" s="18" t="s">
        <v>3</v>
      </c>
      <c r="F2" s="3" t="s">
        <v>4</v>
      </c>
      <c r="G2" s="3" t="s">
        <v>5</v>
      </c>
    </row>
    <row r="3" spans="1:7" ht="95.25" customHeight="1" x14ac:dyDescent="0.25">
      <c r="A3" s="46" t="s">
        <v>6</v>
      </c>
      <c r="B3" s="48" t="s">
        <v>7</v>
      </c>
      <c r="C3" s="4"/>
      <c r="D3" s="4"/>
      <c r="E3" s="4"/>
      <c r="F3" s="4"/>
      <c r="G3" s="5" t="s">
        <v>568</v>
      </c>
    </row>
    <row r="4" spans="1:7" ht="79.5" customHeight="1" x14ac:dyDescent="0.25">
      <c r="A4" s="46" t="s">
        <v>8</v>
      </c>
      <c r="B4" s="48" t="s">
        <v>9</v>
      </c>
      <c r="C4" s="4"/>
      <c r="D4" s="4"/>
      <c r="E4" s="4"/>
      <c r="F4" s="4"/>
      <c r="G4" s="5" t="s">
        <v>10</v>
      </c>
    </row>
    <row r="5" spans="1:7" x14ac:dyDescent="0.25">
      <c r="A5" s="46" t="s">
        <v>11</v>
      </c>
      <c r="B5" s="48" t="s">
        <v>12</v>
      </c>
      <c r="C5" s="46">
        <v>10</v>
      </c>
      <c r="D5" s="4"/>
      <c r="E5" s="4"/>
      <c r="F5" s="4"/>
      <c r="G5" s="5"/>
    </row>
    <row r="6" spans="1:7" ht="69.75" customHeight="1" x14ac:dyDescent="0.25">
      <c r="A6" s="6" t="s">
        <v>13</v>
      </c>
      <c r="B6" s="8" t="s">
        <v>62</v>
      </c>
      <c r="C6" s="6"/>
      <c r="D6" s="6">
        <v>5</v>
      </c>
      <c r="E6" s="6"/>
      <c r="F6" s="6"/>
      <c r="G6" s="7" t="s">
        <v>72</v>
      </c>
    </row>
    <row r="7" spans="1:7" ht="89.25" x14ac:dyDescent="0.25">
      <c r="A7" s="6" t="s">
        <v>14</v>
      </c>
      <c r="B7" s="8" t="s">
        <v>15</v>
      </c>
      <c r="C7" s="6"/>
      <c r="D7" s="6">
        <v>5</v>
      </c>
      <c r="E7" s="6"/>
      <c r="F7" s="6"/>
      <c r="G7" s="7" t="s">
        <v>16</v>
      </c>
    </row>
    <row r="8" spans="1:7" s="54" customFormat="1" ht="25.5" x14ac:dyDescent="0.25">
      <c r="A8" s="46" t="s">
        <v>17</v>
      </c>
      <c r="B8" s="48" t="s">
        <v>18</v>
      </c>
      <c r="C8" s="46">
        <v>10</v>
      </c>
      <c r="D8" s="46"/>
      <c r="E8" s="46"/>
      <c r="F8" s="46"/>
      <c r="G8" s="47"/>
    </row>
    <row r="9" spans="1:7" ht="105" customHeight="1" x14ac:dyDescent="0.25">
      <c r="A9" s="6" t="s">
        <v>19</v>
      </c>
      <c r="B9" s="8" t="s">
        <v>63</v>
      </c>
      <c r="C9" s="6"/>
      <c r="D9" s="6">
        <v>5</v>
      </c>
      <c r="E9" s="6"/>
      <c r="F9" s="6"/>
      <c r="G9" s="8" t="s">
        <v>73</v>
      </c>
    </row>
    <row r="10" spans="1:7" ht="89.25" x14ac:dyDescent="0.25">
      <c r="A10" s="6" t="s">
        <v>20</v>
      </c>
      <c r="B10" s="8" t="s">
        <v>64</v>
      </c>
      <c r="C10" s="6"/>
      <c r="D10" s="6">
        <v>5</v>
      </c>
      <c r="E10" s="6"/>
      <c r="F10" s="6"/>
      <c r="G10" s="9" t="s">
        <v>74</v>
      </c>
    </row>
    <row r="11" spans="1:7" ht="127.5" x14ac:dyDescent="0.25">
      <c r="A11" s="46" t="s">
        <v>21</v>
      </c>
      <c r="B11" s="48" t="s">
        <v>22</v>
      </c>
      <c r="C11" s="46">
        <v>5</v>
      </c>
      <c r="D11" s="4"/>
      <c r="E11" s="4"/>
      <c r="F11" s="4"/>
      <c r="G11" s="5" t="s">
        <v>75</v>
      </c>
    </row>
    <row r="12" spans="1:7" ht="25.5" x14ac:dyDescent="0.25">
      <c r="A12" s="46" t="s">
        <v>23</v>
      </c>
      <c r="B12" s="48" t="s">
        <v>24</v>
      </c>
      <c r="C12" s="46">
        <v>40</v>
      </c>
      <c r="D12" s="4"/>
      <c r="E12" s="4"/>
      <c r="F12" s="4"/>
      <c r="G12" s="5"/>
    </row>
    <row r="13" spans="1:7" ht="229.5" x14ac:dyDescent="0.25">
      <c r="A13" s="6" t="s">
        <v>28</v>
      </c>
      <c r="B13" s="8" t="s">
        <v>27</v>
      </c>
      <c r="C13" s="6"/>
      <c r="D13" s="6">
        <v>10</v>
      </c>
      <c r="E13" s="6"/>
      <c r="F13" s="6"/>
      <c r="G13" s="7" t="s">
        <v>133</v>
      </c>
    </row>
    <row r="14" spans="1:7" ht="25.5" x14ac:dyDescent="0.25">
      <c r="A14" s="187" t="s">
        <v>29</v>
      </c>
      <c r="B14" s="8" t="s">
        <v>26</v>
      </c>
      <c r="C14" s="6"/>
      <c r="D14" s="6">
        <v>15</v>
      </c>
      <c r="E14" s="6"/>
      <c r="F14" s="6"/>
      <c r="G14" s="182" t="s">
        <v>47</v>
      </c>
    </row>
    <row r="15" spans="1:7" x14ac:dyDescent="0.25">
      <c r="A15" s="188"/>
      <c r="B15" s="8" t="s">
        <v>66</v>
      </c>
      <c r="C15" s="6"/>
      <c r="D15" s="6">
        <v>5</v>
      </c>
      <c r="E15" s="6"/>
      <c r="F15" s="6"/>
      <c r="G15" s="183"/>
    </row>
    <row r="16" spans="1:7" x14ac:dyDescent="0.25">
      <c r="A16" s="188"/>
      <c r="B16" s="8" t="s">
        <v>67</v>
      </c>
      <c r="C16" s="6"/>
      <c r="D16" s="6">
        <v>10</v>
      </c>
      <c r="E16" s="6"/>
      <c r="F16" s="6"/>
      <c r="G16" s="183"/>
    </row>
    <row r="17" spans="1:7" x14ac:dyDescent="0.25">
      <c r="A17" s="189"/>
      <c r="B17" s="8" t="s">
        <v>68</v>
      </c>
      <c r="C17" s="6"/>
      <c r="D17" s="6">
        <v>15</v>
      </c>
      <c r="E17" s="6"/>
      <c r="F17" s="6"/>
      <c r="G17" s="184"/>
    </row>
    <row r="18" spans="1:7" ht="38.25" x14ac:dyDescent="0.25">
      <c r="A18" s="6" t="s">
        <v>30</v>
      </c>
      <c r="B18" s="8" t="s">
        <v>33</v>
      </c>
      <c r="C18" s="6"/>
      <c r="D18" s="6">
        <v>5</v>
      </c>
      <c r="E18" s="6"/>
      <c r="F18" s="6"/>
      <c r="G18" s="7" t="s">
        <v>48</v>
      </c>
    </row>
    <row r="19" spans="1:7" ht="51" x14ac:dyDescent="0.25">
      <c r="A19" s="6" t="s">
        <v>31</v>
      </c>
      <c r="B19" s="8" t="s">
        <v>65</v>
      </c>
      <c r="C19" s="6"/>
      <c r="D19" s="6">
        <v>5</v>
      </c>
      <c r="E19" s="6"/>
      <c r="F19" s="6"/>
      <c r="G19" s="7" t="s">
        <v>49</v>
      </c>
    </row>
    <row r="20" spans="1:7" ht="63.75" x14ac:dyDescent="0.25">
      <c r="A20" s="6" t="s">
        <v>32</v>
      </c>
      <c r="B20" s="8" t="s">
        <v>25</v>
      </c>
      <c r="C20" s="6"/>
      <c r="D20" s="6">
        <v>5</v>
      </c>
      <c r="E20" s="6"/>
      <c r="F20" s="6"/>
      <c r="G20" s="7" t="s">
        <v>50</v>
      </c>
    </row>
    <row r="21" spans="1:7" x14ac:dyDescent="0.25">
      <c r="A21" s="46" t="s">
        <v>34</v>
      </c>
      <c r="B21" s="48" t="s">
        <v>35</v>
      </c>
      <c r="C21" s="46">
        <v>15</v>
      </c>
      <c r="D21" s="4"/>
      <c r="E21" s="4"/>
      <c r="F21" s="4"/>
      <c r="G21" s="5"/>
    </row>
    <row r="22" spans="1:7" ht="76.5" x14ac:dyDescent="0.25">
      <c r="A22" s="6" t="s">
        <v>36</v>
      </c>
      <c r="B22" s="8" t="s">
        <v>38</v>
      </c>
      <c r="C22" s="6"/>
      <c r="D22" s="6">
        <v>10</v>
      </c>
      <c r="E22" s="6"/>
      <c r="F22" s="6"/>
      <c r="G22" s="7" t="s">
        <v>52</v>
      </c>
    </row>
    <row r="23" spans="1:7" ht="63.75" x14ac:dyDescent="0.25">
      <c r="A23" s="6" t="s">
        <v>37</v>
      </c>
      <c r="B23" s="8" t="s">
        <v>39</v>
      </c>
      <c r="C23" s="6"/>
      <c r="D23" s="6">
        <v>5</v>
      </c>
      <c r="E23" s="6"/>
      <c r="F23" s="6"/>
      <c r="G23" s="7" t="s">
        <v>40</v>
      </c>
    </row>
    <row r="24" spans="1:7" ht="25.5" x14ac:dyDescent="0.25">
      <c r="A24" s="46" t="s">
        <v>41</v>
      </c>
      <c r="B24" s="48" t="s">
        <v>42</v>
      </c>
      <c r="C24" s="46">
        <v>20</v>
      </c>
      <c r="D24" s="4"/>
      <c r="E24" s="4"/>
      <c r="F24" s="4"/>
      <c r="G24" s="5"/>
    </row>
    <row r="25" spans="1:7" ht="25.5" customHeight="1" x14ac:dyDescent="0.25">
      <c r="A25" s="187" t="s">
        <v>45</v>
      </c>
      <c r="B25" s="8" t="s">
        <v>43</v>
      </c>
      <c r="C25" s="6"/>
      <c r="D25" s="6">
        <v>10</v>
      </c>
      <c r="E25" s="6"/>
      <c r="F25" s="6"/>
      <c r="G25" s="182" t="s">
        <v>69</v>
      </c>
    </row>
    <row r="26" spans="1:7" ht="25.5" x14ac:dyDescent="0.25">
      <c r="A26" s="188"/>
      <c r="B26" s="8" t="s">
        <v>53</v>
      </c>
      <c r="C26" s="6"/>
      <c r="D26" s="6">
        <v>5</v>
      </c>
      <c r="E26" s="6"/>
      <c r="F26" s="6"/>
      <c r="G26" s="183"/>
    </row>
    <row r="27" spans="1:7" ht="25.5" x14ac:dyDescent="0.25">
      <c r="A27" s="189"/>
      <c r="B27" s="8" t="s">
        <v>54</v>
      </c>
      <c r="C27" s="6"/>
      <c r="D27" s="6">
        <v>5</v>
      </c>
      <c r="E27" s="6"/>
      <c r="F27" s="6"/>
      <c r="G27" s="184"/>
    </row>
    <row r="28" spans="1:7" ht="114.75" customHeight="1" x14ac:dyDescent="0.25">
      <c r="A28" s="6" t="s">
        <v>46</v>
      </c>
      <c r="B28" s="8" t="s">
        <v>44</v>
      </c>
      <c r="C28" s="6"/>
      <c r="D28" s="6">
        <v>10</v>
      </c>
      <c r="E28" s="6"/>
      <c r="F28" s="6"/>
      <c r="G28" s="182" t="s">
        <v>295</v>
      </c>
    </row>
    <row r="29" spans="1:7" ht="25.5" x14ac:dyDescent="0.25">
      <c r="A29" s="6"/>
      <c r="B29" s="8" t="s">
        <v>70</v>
      </c>
      <c r="C29" s="6"/>
      <c r="D29" s="6">
        <v>5</v>
      </c>
      <c r="E29" s="6"/>
      <c r="F29" s="6"/>
      <c r="G29" s="183"/>
    </row>
    <row r="30" spans="1:7" ht="25.5" x14ac:dyDescent="0.25">
      <c r="A30" s="6"/>
      <c r="B30" s="8" t="s">
        <v>71</v>
      </c>
      <c r="C30" s="6"/>
      <c r="D30" s="6">
        <v>5</v>
      </c>
      <c r="E30" s="6"/>
      <c r="F30" s="6"/>
      <c r="G30" s="184"/>
    </row>
    <row r="31" spans="1:7" x14ac:dyDescent="0.25">
      <c r="A31" s="6"/>
      <c r="B31" s="3" t="s">
        <v>51</v>
      </c>
      <c r="C31" s="3">
        <f>SUM(C5:C28)</f>
        <v>100</v>
      </c>
      <c r="D31" s="113"/>
      <c r="E31" s="113">
        <f>SUM(E5:E30)</f>
        <v>0</v>
      </c>
      <c r="F31" s="132">
        <f>SUM(F5:F30)</f>
        <v>0</v>
      </c>
      <c r="G31" s="7"/>
    </row>
  </sheetData>
  <mergeCells count="7">
    <mergeCell ref="G28:G30"/>
    <mergeCell ref="A1:G1"/>
    <mergeCell ref="C2:D2"/>
    <mergeCell ref="G14:G17"/>
    <mergeCell ref="A14:A17"/>
    <mergeCell ref="G25:G27"/>
    <mergeCell ref="A25:A2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9"/>
  <sheetViews>
    <sheetView tabSelected="1" topLeftCell="A24" zoomScale="80" zoomScaleNormal="80" workbookViewId="0">
      <selection activeCell="G24" sqref="G24"/>
    </sheetView>
  </sheetViews>
  <sheetFormatPr defaultColWidth="11.42578125" defaultRowHeight="12.75" x14ac:dyDescent="0.25"/>
  <cols>
    <col min="1" max="1" width="17.140625" style="99" customWidth="1"/>
    <col min="2" max="2" width="45.42578125" style="99" customWidth="1"/>
    <col min="3" max="4" width="9.5703125" style="99" customWidth="1"/>
    <col min="5" max="6" width="17.28515625" style="99" customWidth="1"/>
    <col min="7" max="7" width="77.5703125" style="109" customWidth="1"/>
    <col min="8" max="256" width="11.42578125" style="99"/>
    <col min="257" max="257" width="22.28515625" style="99" customWidth="1"/>
    <col min="258" max="258" width="55" style="99" customWidth="1"/>
    <col min="259" max="260" width="12.7109375" style="99" customWidth="1"/>
    <col min="261" max="261" width="165.28515625" style="99" customWidth="1"/>
    <col min="262" max="263" width="0" style="99" hidden="1" customWidth="1"/>
    <col min="264" max="512" width="11.42578125" style="99"/>
    <col min="513" max="513" width="22.28515625" style="99" customWidth="1"/>
    <col min="514" max="514" width="55" style="99" customWidth="1"/>
    <col min="515" max="516" width="12.7109375" style="99" customWidth="1"/>
    <col min="517" max="517" width="165.28515625" style="99" customWidth="1"/>
    <col min="518" max="519" width="0" style="99" hidden="1" customWidth="1"/>
    <col min="520" max="768" width="11.42578125" style="99"/>
    <col min="769" max="769" width="22.28515625" style="99" customWidth="1"/>
    <col min="770" max="770" width="55" style="99" customWidth="1"/>
    <col min="771" max="772" width="12.7109375" style="99" customWidth="1"/>
    <col min="773" max="773" width="165.28515625" style="99" customWidth="1"/>
    <col min="774" max="775" width="0" style="99" hidden="1" customWidth="1"/>
    <col min="776" max="1024" width="11.42578125" style="99"/>
    <col min="1025" max="1025" width="22.28515625" style="99" customWidth="1"/>
    <col min="1026" max="1026" width="55" style="99" customWidth="1"/>
    <col min="1027" max="1028" width="12.7109375" style="99" customWidth="1"/>
    <col min="1029" max="1029" width="165.28515625" style="99" customWidth="1"/>
    <col min="1030" max="1031" width="0" style="99" hidden="1" customWidth="1"/>
    <col min="1032" max="1280" width="11.42578125" style="99"/>
    <col min="1281" max="1281" width="22.28515625" style="99" customWidth="1"/>
    <col min="1282" max="1282" width="55" style="99" customWidth="1"/>
    <col min="1283" max="1284" width="12.7109375" style="99" customWidth="1"/>
    <col min="1285" max="1285" width="165.28515625" style="99" customWidth="1"/>
    <col min="1286" max="1287" width="0" style="99" hidden="1" customWidth="1"/>
    <col min="1288" max="1536" width="11.42578125" style="99"/>
    <col min="1537" max="1537" width="22.28515625" style="99" customWidth="1"/>
    <col min="1538" max="1538" width="55" style="99" customWidth="1"/>
    <col min="1539" max="1540" width="12.7109375" style="99" customWidth="1"/>
    <col min="1541" max="1541" width="165.28515625" style="99" customWidth="1"/>
    <col min="1542" max="1543" width="0" style="99" hidden="1" customWidth="1"/>
    <col min="1544" max="1792" width="11.42578125" style="99"/>
    <col min="1793" max="1793" width="22.28515625" style="99" customWidth="1"/>
    <col min="1794" max="1794" width="55" style="99" customWidth="1"/>
    <col min="1795" max="1796" width="12.7109375" style="99" customWidth="1"/>
    <col min="1797" max="1797" width="165.28515625" style="99" customWidth="1"/>
    <col min="1798" max="1799" width="0" style="99" hidden="1" customWidth="1"/>
    <col min="1800" max="2048" width="11.42578125" style="99"/>
    <col min="2049" max="2049" width="22.28515625" style="99" customWidth="1"/>
    <col min="2050" max="2050" width="55" style="99" customWidth="1"/>
    <col min="2051" max="2052" width="12.7109375" style="99" customWidth="1"/>
    <col min="2053" max="2053" width="165.28515625" style="99" customWidth="1"/>
    <col min="2054" max="2055" width="0" style="99" hidden="1" customWidth="1"/>
    <col min="2056" max="2304" width="11.42578125" style="99"/>
    <col min="2305" max="2305" width="22.28515625" style="99" customWidth="1"/>
    <col min="2306" max="2306" width="55" style="99" customWidth="1"/>
    <col min="2307" max="2308" width="12.7109375" style="99" customWidth="1"/>
    <col min="2309" max="2309" width="165.28515625" style="99" customWidth="1"/>
    <col min="2310" max="2311" width="0" style="99" hidden="1" customWidth="1"/>
    <col min="2312" max="2560" width="11.42578125" style="99"/>
    <col min="2561" max="2561" width="22.28515625" style="99" customWidth="1"/>
    <col min="2562" max="2562" width="55" style="99" customWidth="1"/>
    <col min="2563" max="2564" width="12.7109375" style="99" customWidth="1"/>
    <col min="2565" max="2565" width="165.28515625" style="99" customWidth="1"/>
    <col min="2566" max="2567" width="0" style="99" hidden="1" customWidth="1"/>
    <col min="2568" max="2816" width="11.42578125" style="99"/>
    <col min="2817" max="2817" width="22.28515625" style="99" customWidth="1"/>
    <col min="2818" max="2818" width="55" style="99" customWidth="1"/>
    <col min="2819" max="2820" width="12.7109375" style="99" customWidth="1"/>
    <col min="2821" max="2821" width="165.28515625" style="99" customWidth="1"/>
    <col min="2822" max="2823" width="0" style="99" hidden="1" customWidth="1"/>
    <col min="2824" max="3072" width="11.42578125" style="99"/>
    <col min="3073" max="3073" width="22.28515625" style="99" customWidth="1"/>
    <col min="3074" max="3074" width="55" style="99" customWidth="1"/>
    <col min="3075" max="3076" width="12.7109375" style="99" customWidth="1"/>
    <col min="3077" max="3077" width="165.28515625" style="99" customWidth="1"/>
    <col min="3078" max="3079" width="0" style="99" hidden="1" customWidth="1"/>
    <col min="3080" max="3328" width="11.42578125" style="99"/>
    <col min="3329" max="3329" width="22.28515625" style="99" customWidth="1"/>
    <col min="3330" max="3330" width="55" style="99" customWidth="1"/>
    <col min="3331" max="3332" width="12.7109375" style="99" customWidth="1"/>
    <col min="3333" max="3333" width="165.28515625" style="99" customWidth="1"/>
    <col min="3334" max="3335" width="0" style="99" hidden="1" customWidth="1"/>
    <col min="3336" max="3584" width="11.42578125" style="99"/>
    <col min="3585" max="3585" width="22.28515625" style="99" customWidth="1"/>
    <col min="3586" max="3586" width="55" style="99" customWidth="1"/>
    <col min="3587" max="3588" width="12.7109375" style="99" customWidth="1"/>
    <col min="3589" max="3589" width="165.28515625" style="99" customWidth="1"/>
    <col min="3590" max="3591" width="0" style="99" hidden="1" customWidth="1"/>
    <col min="3592" max="3840" width="11.42578125" style="99"/>
    <col min="3841" max="3841" width="22.28515625" style="99" customWidth="1"/>
    <col min="3842" max="3842" width="55" style="99" customWidth="1"/>
    <col min="3843" max="3844" width="12.7109375" style="99" customWidth="1"/>
    <col min="3845" max="3845" width="165.28515625" style="99" customWidth="1"/>
    <col min="3846" max="3847" width="0" style="99" hidden="1" customWidth="1"/>
    <col min="3848" max="4096" width="11.42578125" style="99"/>
    <col min="4097" max="4097" width="22.28515625" style="99" customWidth="1"/>
    <col min="4098" max="4098" width="55" style="99" customWidth="1"/>
    <col min="4099" max="4100" width="12.7109375" style="99" customWidth="1"/>
    <col min="4101" max="4101" width="165.28515625" style="99" customWidth="1"/>
    <col min="4102" max="4103" width="0" style="99" hidden="1" customWidth="1"/>
    <col min="4104" max="4352" width="11.42578125" style="99"/>
    <col min="4353" max="4353" width="22.28515625" style="99" customWidth="1"/>
    <col min="4354" max="4354" width="55" style="99" customWidth="1"/>
    <col min="4355" max="4356" width="12.7109375" style="99" customWidth="1"/>
    <col min="4357" max="4357" width="165.28515625" style="99" customWidth="1"/>
    <col min="4358" max="4359" width="0" style="99" hidden="1" customWidth="1"/>
    <col min="4360" max="4608" width="11.42578125" style="99"/>
    <col min="4609" max="4609" width="22.28515625" style="99" customWidth="1"/>
    <col min="4610" max="4610" width="55" style="99" customWidth="1"/>
    <col min="4611" max="4612" width="12.7109375" style="99" customWidth="1"/>
    <col min="4613" max="4613" width="165.28515625" style="99" customWidth="1"/>
    <col min="4614" max="4615" width="0" style="99" hidden="1" customWidth="1"/>
    <col min="4616" max="4864" width="11.42578125" style="99"/>
    <col min="4865" max="4865" width="22.28515625" style="99" customWidth="1"/>
    <col min="4866" max="4866" width="55" style="99" customWidth="1"/>
    <col min="4867" max="4868" width="12.7109375" style="99" customWidth="1"/>
    <col min="4869" max="4869" width="165.28515625" style="99" customWidth="1"/>
    <col min="4870" max="4871" width="0" style="99" hidden="1" customWidth="1"/>
    <col min="4872" max="5120" width="11.42578125" style="99"/>
    <col min="5121" max="5121" width="22.28515625" style="99" customWidth="1"/>
    <col min="5122" max="5122" width="55" style="99" customWidth="1"/>
    <col min="5123" max="5124" width="12.7109375" style="99" customWidth="1"/>
    <col min="5125" max="5125" width="165.28515625" style="99" customWidth="1"/>
    <col min="5126" max="5127" width="0" style="99" hidden="1" customWidth="1"/>
    <col min="5128" max="5376" width="11.42578125" style="99"/>
    <col min="5377" max="5377" width="22.28515625" style="99" customWidth="1"/>
    <col min="5378" max="5378" width="55" style="99" customWidth="1"/>
    <col min="5379" max="5380" width="12.7109375" style="99" customWidth="1"/>
    <col min="5381" max="5381" width="165.28515625" style="99" customWidth="1"/>
    <col min="5382" max="5383" width="0" style="99" hidden="1" customWidth="1"/>
    <col min="5384" max="5632" width="11.42578125" style="99"/>
    <col min="5633" max="5633" width="22.28515625" style="99" customWidth="1"/>
    <col min="5634" max="5634" width="55" style="99" customWidth="1"/>
    <col min="5635" max="5636" width="12.7109375" style="99" customWidth="1"/>
    <col min="5637" max="5637" width="165.28515625" style="99" customWidth="1"/>
    <col min="5638" max="5639" width="0" style="99" hidden="1" customWidth="1"/>
    <col min="5640" max="5888" width="11.42578125" style="99"/>
    <col min="5889" max="5889" width="22.28515625" style="99" customWidth="1"/>
    <col min="5890" max="5890" width="55" style="99" customWidth="1"/>
    <col min="5891" max="5892" width="12.7109375" style="99" customWidth="1"/>
    <col min="5893" max="5893" width="165.28515625" style="99" customWidth="1"/>
    <col min="5894" max="5895" width="0" style="99" hidden="1" customWidth="1"/>
    <col min="5896" max="6144" width="11.42578125" style="99"/>
    <col min="6145" max="6145" width="22.28515625" style="99" customWidth="1"/>
    <col min="6146" max="6146" width="55" style="99" customWidth="1"/>
    <col min="6147" max="6148" width="12.7109375" style="99" customWidth="1"/>
    <col min="6149" max="6149" width="165.28515625" style="99" customWidth="1"/>
    <col min="6150" max="6151" width="0" style="99" hidden="1" customWidth="1"/>
    <col min="6152" max="6400" width="11.42578125" style="99"/>
    <col min="6401" max="6401" width="22.28515625" style="99" customWidth="1"/>
    <col min="6402" max="6402" width="55" style="99" customWidth="1"/>
    <col min="6403" max="6404" width="12.7109375" style="99" customWidth="1"/>
    <col min="6405" max="6405" width="165.28515625" style="99" customWidth="1"/>
    <col min="6406" max="6407" width="0" style="99" hidden="1" customWidth="1"/>
    <col min="6408" max="6656" width="11.42578125" style="99"/>
    <col min="6657" max="6657" width="22.28515625" style="99" customWidth="1"/>
    <col min="6658" max="6658" width="55" style="99" customWidth="1"/>
    <col min="6659" max="6660" width="12.7109375" style="99" customWidth="1"/>
    <col min="6661" max="6661" width="165.28515625" style="99" customWidth="1"/>
    <col min="6662" max="6663" width="0" style="99" hidden="1" customWidth="1"/>
    <col min="6664" max="6912" width="11.42578125" style="99"/>
    <col min="6913" max="6913" width="22.28515625" style="99" customWidth="1"/>
    <col min="6914" max="6914" width="55" style="99" customWidth="1"/>
    <col min="6915" max="6916" width="12.7109375" style="99" customWidth="1"/>
    <col min="6917" max="6917" width="165.28515625" style="99" customWidth="1"/>
    <col min="6918" max="6919" width="0" style="99" hidden="1" customWidth="1"/>
    <col min="6920" max="7168" width="11.42578125" style="99"/>
    <col min="7169" max="7169" width="22.28515625" style="99" customWidth="1"/>
    <col min="7170" max="7170" width="55" style="99" customWidth="1"/>
    <col min="7171" max="7172" width="12.7109375" style="99" customWidth="1"/>
    <col min="7173" max="7173" width="165.28515625" style="99" customWidth="1"/>
    <col min="7174" max="7175" width="0" style="99" hidden="1" customWidth="1"/>
    <col min="7176" max="7424" width="11.42578125" style="99"/>
    <col min="7425" max="7425" width="22.28515625" style="99" customWidth="1"/>
    <col min="7426" max="7426" width="55" style="99" customWidth="1"/>
    <col min="7427" max="7428" width="12.7109375" style="99" customWidth="1"/>
    <col min="7429" max="7429" width="165.28515625" style="99" customWidth="1"/>
    <col min="7430" max="7431" width="0" style="99" hidden="1" customWidth="1"/>
    <col min="7432" max="7680" width="11.42578125" style="99"/>
    <col min="7681" max="7681" width="22.28515625" style="99" customWidth="1"/>
    <col min="7682" max="7682" width="55" style="99" customWidth="1"/>
    <col min="7683" max="7684" width="12.7109375" style="99" customWidth="1"/>
    <col min="7685" max="7685" width="165.28515625" style="99" customWidth="1"/>
    <col min="7686" max="7687" width="0" style="99" hidden="1" customWidth="1"/>
    <col min="7688" max="7936" width="11.42578125" style="99"/>
    <col min="7937" max="7937" width="22.28515625" style="99" customWidth="1"/>
    <col min="7938" max="7938" width="55" style="99" customWidth="1"/>
    <col min="7939" max="7940" width="12.7109375" style="99" customWidth="1"/>
    <col min="7941" max="7941" width="165.28515625" style="99" customWidth="1"/>
    <col min="7942" max="7943" width="0" style="99" hidden="1" customWidth="1"/>
    <col min="7944" max="8192" width="11.42578125" style="99"/>
    <col min="8193" max="8193" width="22.28515625" style="99" customWidth="1"/>
    <col min="8194" max="8194" width="55" style="99" customWidth="1"/>
    <col min="8195" max="8196" width="12.7109375" style="99" customWidth="1"/>
    <col min="8197" max="8197" width="165.28515625" style="99" customWidth="1"/>
    <col min="8198" max="8199" width="0" style="99" hidden="1" customWidth="1"/>
    <col min="8200" max="8448" width="11.42578125" style="99"/>
    <col min="8449" max="8449" width="22.28515625" style="99" customWidth="1"/>
    <col min="8450" max="8450" width="55" style="99" customWidth="1"/>
    <col min="8451" max="8452" width="12.7109375" style="99" customWidth="1"/>
    <col min="8453" max="8453" width="165.28515625" style="99" customWidth="1"/>
    <col min="8454" max="8455" width="0" style="99" hidden="1" customWidth="1"/>
    <col min="8456" max="8704" width="11.42578125" style="99"/>
    <col min="8705" max="8705" width="22.28515625" style="99" customWidth="1"/>
    <col min="8706" max="8706" width="55" style="99" customWidth="1"/>
    <col min="8707" max="8708" width="12.7109375" style="99" customWidth="1"/>
    <col min="8709" max="8709" width="165.28515625" style="99" customWidth="1"/>
    <col min="8710" max="8711" width="0" style="99" hidden="1" customWidth="1"/>
    <col min="8712" max="8960" width="11.42578125" style="99"/>
    <col min="8961" max="8961" width="22.28515625" style="99" customWidth="1"/>
    <col min="8962" max="8962" width="55" style="99" customWidth="1"/>
    <col min="8963" max="8964" width="12.7109375" style="99" customWidth="1"/>
    <col min="8965" max="8965" width="165.28515625" style="99" customWidth="1"/>
    <col min="8966" max="8967" width="0" style="99" hidden="1" customWidth="1"/>
    <col min="8968" max="9216" width="11.42578125" style="99"/>
    <col min="9217" max="9217" width="22.28515625" style="99" customWidth="1"/>
    <col min="9218" max="9218" width="55" style="99" customWidth="1"/>
    <col min="9219" max="9220" width="12.7109375" style="99" customWidth="1"/>
    <col min="9221" max="9221" width="165.28515625" style="99" customWidth="1"/>
    <col min="9222" max="9223" width="0" style="99" hidden="1" customWidth="1"/>
    <col min="9224" max="9472" width="11.42578125" style="99"/>
    <col min="9473" max="9473" width="22.28515625" style="99" customWidth="1"/>
    <col min="9474" max="9474" width="55" style="99" customWidth="1"/>
    <col min="9475" max="9476" width="12.7109375" style="99" customWidth="1"/>
    <col min="9477" max="9477" width="165.28515625" style="99" customWidth="1"/>
    <col min="9478" max="9479" width="0" style="99" hidden="1" customWidth="1"/>
    <col min="9480" max="9728" width="11.42578125" style="99"/>
    <col min="9729" max="9729" width="22.28515625" style="99" customWidth="1"/>
    <col min="9730" max="9730" width="55" style="99" customWidth="1"/>
    <col min="9731" max="9732" width="12.7109375" style="99" customWidth="1"/>
    <col min="9733" max="9733" width="165.28515625" style="99" customWidth="1"/>
    <col min="9734" max="9735" width="0" style="99" hidden="1" customWidth="1"/>
    <col min="9736" max="9984" width="11.42578125" style="99"/>
    <col min="9985" max="9985" width="22.28515625" style="99" customWidth="1"/>
    <col min="9986" max="9986" width="55" style="99" customWidth="1"/>
    <col min="9987" max="9988" width="12.7109375" style="99" customWidth="1"/>
    <col min="9989" max="9989" width="165.28515625" style="99" customWidth="1"/>
    <col min="9990" max="9991" width="0" style="99" hidden="1" customWidth="1"/>
    <col min="9992" max="10240" width="11.42578125" style="99"/>
    <col min="10241" max="10241" width="22.28515625" style="99" customWidth="1"/>
    <col min="10242" max="10242" width="55" style="99" customWidth="1"/>
    <col min="10243" max="10244" width="12.7109375" style="99" customWidth="1"/>
    <col min="10245" max="10245" width="165.28515625" style="99" customWidth="1"/>
    <col min="10246" max="10247" width="0" style="99" hidden="1" customWidth="1"/>
    <col min="10248" max="10496" width="11.42578125" style="99"/>
    <col min="10497" max="10497" width="22.28515625" style="99" customWidth="1"/>
    <col min="10498" max="10498" width="55" style="99" customWidth="1"/>
    <col min="10499" max="10500" width="12.7109375" style="99" customWidth="1"/>
    <col min="10501" max="10501" width="165.28515625" style="99" customWidth="1"/>
    <col min="10502" max="10503" width="0" style="99" hidden="1" customWidth="1"/>
    <col min="10504" max="10752" width="11.42578125" style="99"/>
    <col min="10753" max="10753" width="22.28515625" style="99" customWidth="1"/>
    <col min="10754" max="10754" width="55" style="99" customWidth="1"/>
    <col min="10755" max="10756" width="12.7109375" style="99" customWidth="1"/>
    <col min="10757" max="10757" width="165.28515625" style="99" customWidth="1"/>
    <col min="10758" max="10759" width="0" style="99" hidden="1" customWidth="1"/>
    <col min="10760" max="11008" width="11.42578125" style="99"/>
    <col min="11009" max="11009" width="22.28515625" style="99" customWidth="1"/>
    <col min="11010" max="11010" width="55" style="99" customWidth="1"/>
    <col min="11011" max="11012" width="12.7109375" style="99" customWidth="1"/>
    <col min="11013" max="11013" width="165.28515625" style="99" customWidth="1"/>
    <col min="11014" max="11015" width="0" style="99" hidden="1" customWidth="1"/>
    <col min="11016" max="11264" width="11.42578125" style="99"/>
    <col min="11265" max="11265" width="22.28515625" style="99" customWidth="1"/>
    <col min="11266" max="11266" width="55" style="99" customWidth="1"/>
    <col min="11267" max="11268" width="12.7109375" style="99" customWidth="1"/>
    <col min="11269" max="11269" width="165.28515625" style="99" customWidth="1"/>
    <col min="11270" max="11271" width="0" style="99" hidden="1" customWidth="1"/>
    <col min="11272" max="11520" width="11.42578125" style="99"/>
    <col min="11521" max="11521" width="22.28515625" style="99" customWidth="1"/>
    <col min="11522" max="11522" width="55" style="99" customWidth="1"/>
    <col min="11523" max="11524" width="12.7109375" style="99" customWidth="1"/>
    <col min="11525" max="11525" width="165.28515625" style="99" customWidth="1"/>
    <col min="11526" max="11527" width="0" style="99" hidden="1" customWidth="1"/>
    <col min="11528" max="11776" width="11.42578125" style="99"/>
    <col min="11777" max="11777" width="22.28515625" style="99" customWidth="1"/>
    <col min="11778" max="11778" width="55" style="99" customWidth="1"/>
    <col min="11779" max="11780" width="12.7109375" style="99" customWidth="1"/>
    <col min="11781" max="11781" width="165.28515625" style="99" customWidth="1"/>
    <col min="11782" max="11783" width="0" style="99" hidden="1" customWidth="1"/>
    <col min="11784" max="12032" width="11.42578125" style="99"/>
    <col min="12033" max="12033" width="22.28515625" style="99" customWidth="1"/>
    <col min="12034" max="12034" width="55" style="99" customWidth="1"/>
    <col min="12035" max="12036" width="12.7109375" style="99" customWidth="1"/>
    <col min="12037" max="12037" width="165.28515625" style="99" customWidth="1"/>
    <col min="12038" max="12039" width="0" style="99" hidden="1" customWidth="1"/>
    <col min="12040" max="12288" width="11.42578125" style="99"/>
    <col min="12289" max="12289" width="22.28515625" style="99" customWidth="1"/>
    <col min="12290" max="12290" width="55" style="99" customWidth="1"/>
    <col min="12291" max="12292" width="12.7109375" style="99" customWidth="1"/>
    <col min="12293" max="12293" width="165.28515625" style="99" customWidth="1"/>
    <col min="12294" max="12295" width="0" style="99" hidden="1" customWidth="1"/>
    <col min="12296" max="12544" width="11.42578125" style="99"/>
    <col min="12545" max="12545" width="22.28515625" style="99" customWidth="1"/>
    <col min="12546" max="12546" width="55" style="99" customWidth="1"/>
    <col min="12547" max="12548" width="12.7109375" style="99" customWidth="1"/>
    <col min="12549" max="12549" width="165.28515625" style="99" customWidth="1"/>
    <col min="12550" max="12551" width="0" style="99" hidden="1" customWidth="1"/>
    <col min="12552" max="12800" width="11.42578125" style="99"/>
    <col min="12801" max="12801" width="22.28515625" style="99" customWidth="1"/>
    <col min="12802" max="12802" width="55" style="99" customWidth="1"/>
    <col min="12803" max="12804" width="12.7109375" style="99" customWidth="1"/>
    <col min="12805" max="12805" width="165.28515625" style="99" customWidth="1"/>
    <col min="12806" max="12807" width="0" style="99" hidden="1" customWidth="1"/>
    <col min="12808" max="13056" width="11.42578125" style="99"/>
    <col min="13057" max="13057" width="22.28515625" style="99" customWidth="1"/>
    <col min="13058" max="13058" width="55" style="99" customWidth="1"/>
    <col min="13059" max="13060" width="12.7109375" style="99" customWidth="1"/>
    <col min="13061" max="13061" width="165.28515625" style="99" customWidth="1"/>
    <col min="13062" max="13063" width="0" style="99" hidden="1" customWidth="1"/>
    <col min="13064" max="13312" width="11.42578125" style="99"/>
    <col min="13313" max="13313" width="22.28515625" style="99" customWidth="1"/>
    <col min="13314" max="13314" width="55" style="99" customWidth="1"/>
    <col min="13315" max="13316" width="12.7109375" style="99" customWidth="1"/>
    <col min="13317" max="13317" width="165.28515625" style="99" customWidth="1"/>
    <col min="13318" max="13319" width="0" style="99" hidden="1" customWidth="1"/>
    <col min="13320" max="13568" width="11.42578125" style="99"/>
    <col min="13569" max="13569" width="22.28515625" style="99" customWidth="1"/>
    <col min="13570" max="13570" width="55" style="99" customWidth="1"/>
    <col min="13571" max="13572" width="12.7109375" style="99" customWidth="1"/>
    <col min="13573" max="13573" width="165.28515625" style="99" customWidth="1"/>
    <col min="13574" max="13575" width="0" style="99" hidden="1" customWidth="1"/>
    <col min="13576" max="13824" width="11.42578125" style="99"/>
    <col min="13825" max="13825" width="22.28515625" style="99" customWidth="1"/>
    <col min="13826" max="13826" width="55" style="99" customWidth="1"/>
    <col min="13827" max="13828" width="12.7109375" style="99" customWidth="1"/>
    <col min="13829" max="13829" width="165.28515625" style="99" customWidth="1"/>
    <col min="13830" max="13831" width="0" style="99" hidden="1" customWidth="1"/>
    <col min="13832" max="14080" width="11.42578125" style="99"/>
    <col min="14081" max="14081" width="22.28515625" style="99" customWidth="1"/>
    <col min="14082" max="14082" width="55" style="99" customWidth="1"/>
    <col min="14083" max="14084" width="12.7109375" style="99" customWidth="1"/>
    <col min="14085" max="14085" width="165.28515625" style="99" customWidth="1"/>
    <col min="14086" max="14087" width="0" style="99" hidden="1" customWidth="1"/>
    <col min="14088" max="14336" width="11.42578125" style="99"/>
    <col min="14337" max="14337" width="22.28515625" style="99" customWidth="1"/>
    <col min="14338" max="14338" width="55" style="99" customWidth="1"/>
    <col min="14339" max="14340" width="12.7109375" style="99" customWidth="1"/>
    <col min="14341" max="14341" width="165.28515625" style="99" customWidth="1"/>
    <col min="14342" max="14343" width="0" style="99" hidden="1" customWidth="1"/>
    <col min="14344" max="14592" width="11.42578125" style="99"/>
    <col min="14593" max="14593" width="22.28515625" style="99" customWidth="1"/>
    <col min="14594" max="14594" width="55" style="99" customWidth="1"/>
    <col min="14595" max="14596" width="12.7109375" style="99" customWidth="1"/>
    <col min="14597" max="14597" width="165.28515625" style="99" customWidth="1"/>
    <col min="14598" max="14599" width="0" style="99" hidden="1" customWidth="1"/>
    <col min="14600" max="14848" width="11.42578125" style="99"/>
    <col min="14849" max="14849" width="22.28515625" style="99" customWidth="1"/>
    <col min="14850" max="14850" width="55" style="99" customWidth="1"/>
    <col min="14851" max="14852" width="12.7109375" style="99" customWidth="1"/>
    <col min="14853" max="14853" width="165.28515625" style="99" customWidth="1"/>
    <col min="14854" max="14855" width="0" style="99" hidden="1" customWidth="1"/>
    <col min="14856" max="15104" width="11.42578125" style="99"/>
    <col min="15105" max="15105" width="22.28515625" style="99" customWidth="1"/>
    <col min="15106" max="15106" width="55" style="99" customWidth="1"/>
    <col min="15107" max="15108" width="12.7109375" style="99" customWidth="1"/>
    <col min="15109" max="15109" width="165.28515625" style="99" customWidth="1"/>
    <col min="15110" max="15111" width="0" style="99" hidden="1" customWidth="1"/>
    <col min="15112" max="15360" width="11.42578125" style="99"/>
    <col min="15361" max="15361" width="22.28515625" style="99" customWidth="1"/>
    <col min="15362" max="15362" width="55" style="99" customWidth="1"/>
    <col min="15363" max="15364" width="12.7109375" style="99" customWidth="1"/>
    <col min="15365" max="15365" width="165.28515625" style="99" customWidth="1"/>
    <col min="15366" max="15367" width="0" style="99" hidden="1" customWidth="1"/>
    <col min="15368" max="15616" width="11.42578125" style="99"/>
    <col min="15617" max="15617" width="22.28515625" style="99" customWidth="1"/>
    <col min="15618" max="15618" width="55" style="99" customWidth="1"/>
    <col min="15619" max="15620" width="12.7109375" style="99" customWidth="1"/>
    <col min="15621" max="15621" width="165.28515625" style="99" customWidth="1"/>
    <col min="15622" max="15623" width="0" style="99" hidden="1" customWidth="1"/>
    <col min="15624" max="15872" width="11.42578125" style="99"/>
    <col min="15873" max="15873" width="22.28515625" style="99" customWidth="1"/>
    <col min="15874" max="15874" width="55" style="99" customWidth="1"/>
    <col min="15875" max="15876" width="12.7109375" style="99" customWidth="1"/>
    <col min="15877" max="15877" width="165.28515625" style="99" customWidth="1"/>
    <col min="15878" max="15879" width="0" style="99" hidden="1" customWidth="1"/>
    <col min="15880" max="16128" width="11.42578125" style="99"/>
    <col min="16129" max="16129" width="22.28515625" style="99" customWidth="1"/>
    <col min="16130" max="16130" width="55" style="99" customWidth="1"/>
    <col min="16131" max="16132" width="12.7109375" style="99" customWidth="1"/>
    <col min="16133" max="16133" width="165.28515625" style="99" customWidth="1"/>
    <col min="16134" max="16135" width="0" style="99" hidden="1" customWidth="1"/>
    <col min="16136" max="16384" width="11.42578125" style="99"/>
  </cols>
  <sheetData>
    <row r="1" spans="1:7" x14ac:dyDescent="0.25">
      <c r="A1" s="191" t="s">
        <v>524</v>
      </c>
      <c r="B1" s="191"/>
      <c r="C1" s="191"/>
      <c r="D1" s="191"/>
      <c r="E1" s="191"/>
      <c r="F1" s="191"/>
      <c r="G1" s="191"/>
    </row>
    <row r="2" spans="1:7" s="2" customFormat="1" ht="25.5" x14ac:dyDescent="0.25">
      <c r="A2" s="98" t="s">
        <v>0</v>
      </c>
      <c r="B2" s="98" t="s">
        <v>1</v>
      </c>
      <c r="C2" s="186" t="s">
        <v>2</v>
      </c>
      <c r="D2" s="186"/>
      <c r="E2" s="98" t="s">
        <v>3</v>
      </c>
      <c r="F2" s="97" t="s">
        <v>4</v>
      </c>
      <c r="G2" s="97" t="s">
        <v>5</v>
      </c>
    </row>
    <row r="3" spans="1:7" x14ac:dyDescent="0.25">
      <c r="A3" s="47" t="s">
        <v>495</v>
      </c>
      <c r="B3" s="47" t="s">
        <v>496</v>
      </c>
      <c r="C3" s="46">
        <v>10</v>
      </c>
      <c r="D3" s="4"/>
      <c r="E3" s="4"/>
      <c r="F3" s="4"/>
      <c r="G3" s="110"/>
    </row>
    <row r="4" spans="1:7" ht="93" customHeight="1" x14ac:dyDescent="0.25">
      <c r="A4" s="190" t="s">
        <v>497</v>
      </c>
      <c r="B4" s="163" t="s">
        <v>526</v>
      </c>
      <c r="C4" s="190" t="s">
        <v>58</v>
      </c>
      <c r="D4" s="190">
        <v>5</v>
      </c>
      <c r="E4" s="190"/>
      <c r="F4" s="190"/>
      <c r="G4" s="163" t="s">
        <v>569</v>
      </c>
    </row>
    <row r="5" spans="1:7" ht="93" customHeight="1" x14ac:dyDescent="0.25">
      <c r="A5" s="190"/>
      <c r="B5" s="163"/>
      <c r="C5" s="190"/>
      <c r="D5" s="190"/>
      <c r="E5" s="190"/>
      <c r="F5" s="190"/>
      <c r="G5" s="163"/>
    </row>
    <row r="6" spans="1:7" ht="89.25" x14ac:dyDescent="0.25">
      <c r="A6" s="103" t="s">
        <v>498</v>
      </c>
      <c r="B6" s="103" t="s">
        <v>525</v>
      </c>
      <c r="C6" s="101"/>
      <c r="D6" s="101">
        <v>5</v>
      </c>
      <c r="E6" s="101"/>
      <c r="F6" s="101"/>
      <c r="G6" s="102" t="s">
        <v>527</v>
      </c>
    </row>
    <row r="7" spans="1:7" s="104" customFormat="1" x14ac:dyDescent="0.2">
      <c r="A7" s="47" t="s">
        <v>499</v>
      </c>
      <c r="B7" s="47" t="s">
        <v>500</v>
      </c>
      <c r="C7" s="46">
        <v>25</v>
      </c>
      <c r="D7" s="4"/>
      <c r="E7" s="4"/>
      <c r="F7" s="4"/>
      <c r="G7" s="47"/>
    </row>
    <row r="8" spans="1:7" s="104" customFormat="1" ht="112.5" customHeight="1" x14ac:dyDescent="0.2">
      <c r="A8" s="102" t="s">
        <v>540</v>
      </c>
      <c r="B8" s="103" t="s">
        <v>528</v>
      </c>
      <c r="C8" s="101"/>
      <c r="D8" s="101">
        <v>10</v>
      </c>
      <c r="E8" s="101"/>
      <c r="F8" s="101"/>
      <c r="G8" s="111" t="s">
        <v>529</v>
      </c>
    </row>
    <row r="9" spans="1:7" s="104" customFormat="1" ht="36" customHeight="1" x14ac:dyDescent="0.2">
      <c r="A9" s="102" t="s">
        <v>541</v>
      </c>
      <c r="B9" s="103" t="s">
        <v>501</v>
      </c>
      <c r="C9" s="101" t="s">
        <v>58</v>
      </c>
      <c r="D9" s="101">
        <v>10</v>
      </c>
      <c r="E9" s="101"/>
      <c r="F9" s="101"/>
      <c r="G9" s="103" t="s">
        <v>570</v>
      </c>
    </row>
    <row r="10" spans="1:7" s="104" customFormat="1" ht="38.25" x14ac:dyDescent="0.2">
      <c r="A10" s="102" t="s">
        <v>542</v>
      </c>
      <c r="B10" s="103" t="s">
        <v>530</v>
      </c>
      <c r="C10" s="101" t="s">
        <v>58</v>
      </c>
      <c r="D10" s="101">
        <v>5</v>
      </c>
      <c r="E10" s="101"/>
      <c r="F10" s="101"/>
      <c r="G10" s="103" t="s">
        <v>571</v>
      </c>
    </row>
    <row r="11" spans="1:7" x14ac:dyDescent="0.25">
      <c r="A11" s="47" t="s">
        <v>502</v>
      </c>
      <c r="B11" s="47" t="s">
        <v>503</v>
      </c>
      <c r="C11" s="46">
        <v>20</v>
      </c>
      <c r="D11" s="4"/>
      <c r="E11" s="4"/>
      <c r="F11" s="4"/>
      <c r="G11" s="110"/>
    </row>
    <row r="12" spans="1:7" ht="127.5" customHeight="1" x14ac:dyDescent="0.25">
      <c r="A12" s="103" t="s">
        <v>504</v>
      </c>
      <c r="B12" s="103" t="s">
        <v>531</v>
      </c>
      <c r="C12" s="101"/>
      <c r="D12" s="101">
        <v>5</v>
      </c>
      <c r="E12" s="101"/>
      <c r="F12" s="101"/>
      <c r="G12" s="102" t="s">
        <v>532</v>
      </c>
    </row>
    <row r="13" spans="1:7" ht="132" customHeight="1" x14ac:dyDescent="0.25">
      <c r="A13" s="103" t="s">
        <v>505</v>
      </c>
      <c r="B13" s="103" t="s">
        <v>506</v>
      </c>
      <c r="C13" s="101"/>
      <c r="D13" s="101">
        <v>5</v>
      </c>
      <c r="E13" s="101"/>
      <c r="F13" s="101"/>
      <c r="G13" s="102" t="s">
        <v>572</v>
      </c>
    </row>
    <row r="14" spans="1:7" s="105" customFormat="1" ht="120" customHeight="1" x14ac:dyDescent="0.25">
      <c r="A14" s="103" t="s">
        <v>507</v>
      </c>
      <c r="B14" s="103" t="s">
        <v>533</v>
      </c>
      <c r="C14" s="98"/>
      <c r="D14" s="101">
        <v>10</v>
      </c>
      <c r="E14" s="101"/>
      <c r="F14" s="101"/>
      <c r="G14" s="103" t="s">
        <v>573</v>
      </c>
    </row>
    <row r="15" spans="1:7" s="106" customFormat="1" x14ac:dyDescent="0.25">
      <c r="A15" s="47" t="s">
        <v>508</v>
      </c>
      <c r="B15" s="47" t="s">
        <v>534</v>
      </c>
      <c r="C15" s="46">
        <v>20</v>
      </c>
      <c r="D15" s="4"/>
      <c r="E15" s="4"/>
      <c r="F15" s="4"/>
      <c r="G15" s="110"/>
    </row>
    <row r="16" spans="1:7" ht="127.5" x14ac:dyDescent="0.25">
      <c r="A16" s="103" t="s">
        <v>509</v>
      </c>
      <c r="B16" s="103" t="s">
        <v>510</v>
      </c>
      <c r="C16" s="101"/>
      <c r="D16" s="101">
        <v>5</v>
      </c>
      <c r="E16" s="101"/>
      <c r="F16" s="101"/>
      <c r="G16" s="102" t="s">
        <v>574</v>
      </c>
    </row>
    <row r="17" spans="1:7" ht="25.5" x14ac:dyDescent="0.25">
      <c r="A17" s="103" t="s">
        <v>511</v>
      </c>
      <c r="B17" s="103" t="s">
        <v>512</v>
      </c>
      <c r="C17" s="98"/>
      <c r="D17" s="101"/>
      <c r="E17" s="101"/>
      <c r="F17" s="101"/>
      <c r="G17" s="100" t="s">
        <v>58</v>
      </c>
    </row>
    <row r="18" spans="1:7" x14ac:dyDescent="0.25">
      <c r="A18" s="190"/>
      <c r="B18" s="103" t="s">
        <v>513</v>
      </c>
      <c r="C18" s="101"/>
      <c r="D18" s="101">
        <v>5</v>
      </c>
      <c r="E18" s="101"/>
      <c r="F18" s="101"/>
      <c r="G18" s="103" t="s">
        <v>536</v>
      </c>
    </row>
    <row r="19" spans="1:7" s="106" customFormat="1" ht="63.75" x14ac:dyDescent="0.25">
      <c r="A19" s="190"/>
      <c r="B19" s="103" t="s">
        <v>535</v>
      </c>
      <c r="C19" s="101"/>
      <c r="D19" s="101">
        <v>10</v>
      </c>
      <c r="E19" s="101"/>
      <c r="F19" s="101"/>
      <c r="G19" s="103" t="s">
        <v>514</v>
      </c>
    </row>
    <row r="20" spans="1:7" ht="25.5" x14ac:dyDescent="0.25">
      <c r="A20" s="190"/>
      <c r="B20" s="103" t="s">
        <v>515</v>
      </c>
      <c r="C20" s="101"/>
      <c r="D20" s="101">
        <v>15</v>
      </c>
      <c r="E20" s="101"/>
      <c r="F20" s="101"/>
      <c r="G20" s="103" t="s">
        <v>575</v>
      </c>
    </row>
    <row r="21" spans="1:7" x14ac:dyDescent="0.25">
      <c r="A21" s="47" t="s">
        <v>516</v>
      </c>
      <c r="B21" s="47" t="s">
        <v>537</v>
      </c>
      <c r="C21" s="46">
        <v>20</v>
      </c>
      <c r="D21" s="4"/>
      <c r="E21" s="4"/>
      <c r="F21" s="4"/>
      <c r="G21" s="110"/>
    </row>
    <row r="22" spans="1:7" ht="97.5" customHeight="1" x14ac:dyDescent="0.25">
      <c r="A22" s="103" t="s">
        <v>517</v>
      </c>
      <c r="B22" s="103" t="s">
        <v>518</v>
      </c>
      <c r="C22" s="108"/>
      <c r="D22" s="101">
        <v>10</v>
      </c>
      <c r="E22" s="102"/>
      <c r="F22" s="102"/>
      <c r="G22" s="163" t="s">
        <v>576</v>
      </c>
    </row>
    <row r="23" spans="1:7" ht="97.5" customHeight="1" x14ac:dyDescent="0.25">
      <c r="A23" s="103" t="s">
        <v>519</v>
      </c>
      <c r="B23" s="103" t="s">
        <v>520</v>
      </c>
      <c r="C23" s="108"/>
      <c r="D23" s="101">
        <v>10</v>
      </c>
      <c r="E23" s="102"/>
      <c r="F23" s="102"/>
      <c r="G23" s="163"/>
    </row>
    <row r="24" spans="1:7" x14ac:dyDescent="0.25">
      <c r="A24" s="47" t="s">
        <v>521</v>
      </c>
      <c r="B24" s="47" t="s">
        <v>522</v>
      </c>
      <c r="C24" s="46">
        <v>25</v>
      </c>
      <c r="D24" s="4"/>
      <c r="E24" s="4"/>
      <c r="F24" s="4"/>
      <c r="G24" s="48"/>
    </row>
    <row r="25" spans="1:7" ht="234" customHeight="1" x14ac:dyDescent="0.25">
      <c r="A25" s="103" t="s">
        <v>539</v>
      </c>
      <c r="B25" s="103" t="s">
        <v>538</v>
      </c>
      <c r="C25" s="98"/>
      <c r="D25" s="101">
        <v>10</v>
      </c>
      <c r="E25" s="101"/>
      <c r="F25" s="101"/>
      <c r="G25" s="102" t="s">
        <v>577</v>
      </c>
    </row>
    <row r="26" spans="1:7" ht="89.25" x14ac:dyDescent="0.25">
      <c r="A26" s="103" t="s">
        <v>543</v>
      </c>
      <c r="B26" s="103" t="s">
        <v>545</v>
      </c>
      <c r="C26" s="101"/>
      <c r="D26" s="101">
        <v>10</v>
      </c>
      <c r="E26" s="101"/>
      <c r="F26" s="101"/>
      <c r="G26" s="107" t="s">
        <v>547</v>
      </c>
    </row>
    <row r="27" spans="1:7" ht="38.25" x14ac:dyDescent="0.25">
      <c r="A27" s="103" t="s">
        <v>544</v>
      </c>
      <c r="B27" s="103" t="s">
        <v>546</v>
      </c>
      <c r="C27" s="101"/>
      <c r="D27" s="101">
        <v>5</v>
      </c>
      <c r="E27" s="101"/>
      <c r="F27" s="101"/>
      <c r="G27" s="102" t="s">
        <v>548</v>
      </c>
    </row>
    <row r="28" spans="1:7" ht="51" x14ac:dyDescent="0.25">
      <c r="A28" s="47" t="s">
        <v>523</v>
      </c>
      <c r="B28" s="47" t="s">
        <v>549</v>
      </c>
      <c r="C28" s="46">
        <v>5</v>
      </c>
      <c r="D28" s="4"/>
      <c r="E28" s="4"/>
      <c r="F28" s="4"/>
      <c r="G28" s="5" t="s">
        <v>550</v>
      </c>
    </row>
    <row r="29" spans="1:7" x14ac:dyDescent="0.25">
      <c r="A29" s="5"/>
      <c r="B29" s="46" t="s">
        <v>387</v>
      </c>
      <c r="C29" s="46">
        <f>SUM(C3:C28)</f>
        <v>125</v>
      </c>
      <c r="D29" s="46"/>
      <c r="E29" s="46">
        <f>SUM(E3:E28)</f>
        <v>0</v>
      </c>
      <c r="F29" s="46">
        <f t="shared" ref="F29" si="0">SUM(F3:F28)</f>
        <v>0</v>
      </c>
      <c r="G29" s="110"/>
    </row>
  </sheetData>
  <mergeCells count="11">
    <mergeCell ref="C4:C5"/>
    <mergeCell ref="A4:A5"/>
    <mergeCell ref="B4:B5"/>
    <mergeCell ref="A18:A20"/>
    <mergeCell ref="A1:G1"/>
    <mergeCell ref="C2:D2"/>
    <mergeCell ref="G22:G23"/>
    <mergeCell ref="G4:G5"/>
    <mergeCell ref="F4:F5"/>
    <mergeCell ref="E4:E5"/>
    <mergeCell ref="D4:D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7"/>
  <sheetViews>
    <sheetView topLeftCell="A22" zoomScale="80" zoomScaleNormal="80" workbookViewId="0">
      <selection activeCell="F13" sqref="F13"/>
    </sheetView>
  </sheetViews>
  <sheetFormatPr defaultRowHeight="12.75" x14ac:dyDescent="0.25"/>
  <cols>
    <col min="1" max="1" width="18.5703125" style="10" customWidth="1"/>
    <col min="2" max="2" width="47.7109375" style="29" bestFit="1" customWidth="1"/>
    <col min="3" max="4" width="9.85546875" style="10" customWidth="1"/>
    <col min="5" max="6" width="17.7109375" style="29" customWidth="1"/>
    <col min="7" max="7" width="78.5703125" style="29" customWidth="1"/>
    <col min="8" max="256" width="9.140625" style="29"/>
    <col min="257" max="257" width="18.5703125" style="29" customWidth="1"/>
    <col min="258" max="258" width="47.7109375" style="29" bestFit="1" customWidth="1"/>
    <col min="259" max="259" width="15.42578125" style="29" customWidth="1"/>
    <col min="260" max="260" width="13.7109375" style="29" customWidth="1"/>
    <col min="261" max="261" width="12.140625" style="29" customWidth="1"/>
    <col min="262" max="262" width="16.7109375" style="29" customWidth="1"/>
    <col min="263" max="263" width="104.42578125" style="29" customWidth="1"/>
    <col min="264" max="512" width="9.140625" style="29"/>
    <col min="513" max="513" width="18.5703125" style="29" customWidth="1"/>
    <col min="514" max="514" width="47.7109375" style="29" bestFit="1" customWidth="1"/>
    <col min="515" max="515" width="15.42578125" style="29" customWidth="1"/>
    <col min="516" max="516" width="13.7109375" style="29" customWidth="1"/>
    <col min="517" max="517" width="12.140625" style="29" customWidth="1"/>
    <col min="518" max="518" width="16.7109375" style="29" customWidth="1"/>
    <col min="519" max="519" width="104.42578125" style="29" customWidth="1"/>
    <col min="520" max="768" width="9.140625" style="29"/>
    <col min="769" max="769" width="18.5703125" style="29" customWidth="1"/>
    <col min="770" max="770" width="47.7109375" style="29" bestFit="1" customWidth="1"/>
    <col min="771" max="771" width="15.42578125" style="29" customWidth="1"/>
    <col min="772" max="772" width="13.7109375" style="29" customWidth="1"/>
    <col min="773" max="773" width="12.140625" style="29" customWidth="1"/>
    <col min="774" max="774" width="16.7109375" style="29" customWidth="1"/>
    <col min="775" max="775" width="104.42578125" style="29" customWidth="1"/>
    <col min="776" max="1024" width="9.140625" style="29"/>
    <col min="1025" max="1025" width="18.5703125" style="29" customWidth="1"/>
    <col min="1026" max="1026" width="47.7109375" style="29" bestFit="1" customWidth="1"/>
    <col min="1027" max="1027" width="15.42578125" style="29" customWidth="1"/>
    <col min="1028" max="1028" width="13.7109375" style="29" customWidth="1"/>
    <col min="1029" max="1029" width="12.140625" style="29" customWidth="1"/>
    <col min="1030" max="1030" width="16.7109375" style="29" customWidth="1"/>
    <col min="1031" max="1031" width="104.42578125" style="29" customWidth="1"/>
    <col min="1032" max="1280" width="9.140625" style="29"/>
    <col min="1281" max="1281" width="18.5703125" style="29" customWidth="1"/>
    <col min="1282" max="1282" width="47.7109375" style="29" bestFit="1" customWidth="1"/>
    <col min="1283" max="1283" width="15.42578125" style="29" customWidth="1"/>
    <col min="1284" max="1284" width="13.7109375" style="29" customWidth="1"/>
    <col min="1285" max="1285" width="12.140625" style="29" customWidth="1"/>
    <col min="1286" max="1286" width="16.7109375" style="29" customWidth="1"/>
    <col min="1287" max="1287" width="104.42578125" style="29" customWidth="1"/>
    <col min="1288" max="1536" width="9.140625" style="29"/>
    <col min="1537" max="1537" width="18.5703125" style="29" customWidth="1"/>
    <col min="1538" max="1538" width="47.7109375" style="29" bestFit="1" customWidth="1"/>
    <col min="1539" max="1539" width="15.42578125" style="29" customWidth="1"/>
    <col min="1540" max="1540" width="13.7109375" style="29" customWidth="1"/>
    <col min="1541" max="1541" width="12.140625" style="29" customWidth="1"/>
    <col min="1542" max="1542" width="16.7109375" style="29" customWidth="1"/>
    <col min="1543" max="1543" width="104.42578125" style="29" customWidth="1"/>
    <col min="1544" max="1792" width="9.140625" style="29"/>
    <col min="1793" max="1793" width="18.5703125" style="29" customWidth="1"/>
    <col min="1794" max="1794" width="47.7109375" style="29" bestFit="1" customWidth="1"/>
    <col min="1795" max="1795" width="15.42578125" style="29" customWidth="1"/>
    <col min="1796" max="1796" width="13.7109375" style="29" customWidth="1"/>
    <col min="1797" max="1797" width="12.140625" style="29" customWidth="1"/>
    <col min="1798" max="1798" width="16.7109375" style="29" customWidth="1"/>
    <col min="1799" max="1799" width="104.42578125" style="29" customWidth="1"/>
    <col min="1800" max="2048" width="9.140625" style="29"/>
    <col min="2049" max="2049" width="18.5703125" style="29" customWidth="1"/>
    <col min="2050" max="2050" width="47.7109375" style="29" bestFit="1" customWidth="1"/>
    <col min="2051" max="2051" width="15.42578125" style="29" customWidth="1"/>
    <col min="2052" max="2052" width="13.7109375" style="29" customWidth="1"/>
    <col min="2053" max="2053" width="12.140625" style="29" customWidth="1"/>
    <col min="2054" max="2054" width="16.7109375" style="29" customWidth="1"/>
    <col min="2055" max="2055" width="104.42578125" style="29" customWidth="1"/>
    <col min="2056" max="2304" width="9.140625" style="29"/>
    <col min="2305" max="2305" width="18.5703125" style="29" customWidth="1"/>
    <col min="2306" max="2306" width="47.7109375" style="29" bestFit="1" customWidth="1"/>
    <col min="2307" max="2307" width="15.42578125" style="29" customWidth="1"/>
    <col min="2308" max="2308" width="13.7109375" style="29" customWidth="1"/>
    <col min="2309" max="2309" width="12.140625" style="29" customWidth="1"/>
    <col min="2310" max="2310" width="16.7109375" style="29" customWidth="1"/>
    <col min="2311" max="2311" width="104.42578125" style="29" customWidth="1"/>
    <col min="2312" max="2560" width="9.140625" style="29"/>
    <col min="2561" max="2561" width="18.5703125" style="29" customWidth="1"/>
    <col min="2562" max="2562" width="47.7109375" style="29" bestFit="1" customWidth="1"/>
    <col min="2563" max="2563" width="15.42578125" style="29" customWidth="1"/>
    <col min="2564" max="2564" width="13.7109375" style="29" customWidth="1"/>
    <col min="2565" max="2565" width="12.140625" style="29" customWidth="1"/>
    <col min="2566" max="2566" width="16.7109375" style="29" customWidth="1"/>
    <col min="2567" max="2567" width="104.42578125" style="29" customWidth="1"/>
    <col min="2568" max="2816" width="9.140625" style="29"/>
    <col min="2817" max="2817" width="18.5703125" style="29" customWidth="1"/>
    <col min="2818" max="2818" width="47.7109375" style="29" bestFit="1" customWidth="1"/>
    <col min="2819" max="2819" width="15.42578125" style="29" customWidth="1"/>
    <col min="2820" max="2820" width="13.7109375" style="29" customWidth="1"/>
    <col min="2821" max="2821" width="12.140625" style="29" customWidth="1"/>
    <col min="2822" max="2822" width="16.7109375" style="29" customWidth="1"/>
    <col min="2823" max="2823" width="104.42578125" style="29" customWidth="1"/>
    <col min="2824" max="3072" width="9.140625" style="29"/>
    <col min="3073" max="3073" width="18.5703125" style="29" customWidth="1"/>
    <col min="3074" max="3074" width="47.7109375" style="29" bestFit="1" customWidth="1"/>
    <col min="3075" max="3075" width="15.42578125" style="29" customWidth="1"/>
    <col min="3076" max="3076" width="13.7109375" style="29" customWidth="1"/>
    <col min="3077" max="3077" width="12.140625" style="29" customWidth="1"/>
    <col min="3078" max="3078" width="16.7109375" style="29" customWidth="1"/>
    <col min="3079" max="3079" width="104.42578125" style="29" customWidth="1"/>
    <col min="3080" max="3328" width="9.140625" style="29"/>
    <col min="3329" max="3329" width="18.5703125" style="29" customWidth="1"/>
    <col min="3330" max="3330" width="47.7109375" style="29" bestFit="1" customWidth="1"/>
    <col min="3331" max="3331" width="15.42578125" style="29" customWidth="1"/>
    <col min="3332" max="3332" width="13.7109375" style="29" customWidth="1"/>
    <col min="3333" max="3333" width="12.140625" style="29" customWidth="1"/>
    <col min="3334" max="3334" width="16.7109375" style="29" customWidth="1"/>
    <col min="3335" max="3335" width="104.42578125" style="29" customWidth="1"/>
    <col min="3336" max="3584" width="9.140625" style="29"/>
    <col min="3585" max="3585" width="18.5703125" style="29" customWidth="1"/>
    <col min="3586" max="3586" width="47.7109375" style="29" bestFit="1" customWidth="1"/>
    <col min="3587" max="3587" width="15.42578125" style="29" customWidth="1"/>
    <col min="3588" max="3588" width="13.7109375" style="29" customWidth="1"/>
    <col min="3589" max="3589" width="12.140625" style="29" customWidth="1"/>
    <col min="3590" max="3590" width="16.7109375" style="29" customWidth="1"/>
    <col min="3591" max="3591" width="104.42578125" style="29" customWidth="1"/>
    <col min="3592" max="3840" width="9.140625" style="29"/>
    <col min="3841" max="3841" width="18.5703125" style="29" customWidth="1"/>
    <col min="3842" max="3842" width="47.7109375" style="29" bestFit="1" customWidth="1"/>
    <col min="3843" max="3843" width="15.42578125" style="29" customWidth="1"/>
    <col min="3844" max="3844" width="13.7109375" style="29" customWidth="1"/>
    <col min="3845" max="3845" width="12.140625" style="29" customWidth="1"/>
    <col min="3846" max="3846" width="16.7109375" style="29" customWidth="1"/>
    <col min="3847" max="3847" width="104.42578125" style="29" customWidth="1"/>
    <col min="3848" max="4096" width="9.140625" style="29"/>
    <col min="4097" max="4097" width="18.5703125" style="29" customWidth="1"/>
    <col min="4098" max="4098" width="47.7109375" style="29" bestFit="1" customWidth="1"/>
    <col min="4099" max="4099" width="15.42578125" style="29" customWidth="1"/>
    <col min="4100" max="4100" width="13.7109375" style="29" customWidth="1"/>
    <col min="4101" max="4101" width="12.140625" style="29" customWidth="1"/>
    <col min="4102" max="4102" width="16.7109375" style="29" customWidth="1"/>
    <col min="4103" max="4103" width="104.42578125" style="29" customWidth="1"/>
    <col min="4104" max="4352" width="9.140625" style="29"/>
    <col min="4353" max="4353" width="18.5703125" style="29" customWidth="1"/>
    <col min="4354" max="4354" width="47.7109375" style="29" bestFit="1" customWidth="1"/>
    <col min="4355" max="4355" width="15.42578125" style="29" customWidth="1"/>
    <col min="4356" max="4356" width="13.7109375" style="29" customWidth="1"/>
    <col min="4357" max="4357" width="12.140625" style="29" customWidth="1"/>
    <col min="4358" max="4358" width="16.7109375" style="29" customWidth="1"/>
    <col min="4359" max="4359" width="104.42578125" style="29" customWidth="1"/>
    <col min="4360" max="4608" width="9.140625" style="29"/>
    <col min="4609" max="4609" width="18.5703125" style="29" customWidth="1"/>
    <col min="4610" max="4610" width="47.7109375" style="29" bestFit="1" customWidth="1"/>
    <col min="4611" max="4611" width="15.42578125" style="29" customWidth="1"/>
    <col min="4612" max="4612" width="13.7109375" style="29" customWidth="1"/>
    <col min="4613" max="4613" width="12.140625" style="29" customWidth="1"/>
    <col min="4614" max="4614" width="16.7109375" style="29" customWidth="1"/>
    <col min="4615" max="4615" width="104.42578125" style="29" customWidth="1"/>
    <col min="4616" max="4864" width="9.140625" style="29"/>
    <col min="4865" max="4865" width="18.5703125" style="29" customWidth="1"/>
    <col min="4866" max="4866" width="47.7109375" style="29" bestFit="1" customWidth="1"/>
    <col min="4867" max="4867" width="15.42578125" style="29" customWidth="1"/>
    <col min="4868" max="4868" width="13.7109375" style="29" customWidth="1"/>
    <col min="4869" max="4869" width="12.140625" style="29" customWidth="1"/>
    <col min="4870" max="4870" width="16.7109375" style="29" customWidth="1"/>
    <col min="4871" max="4871" width="104.42578125" style="29" customWidth="1"/>
    <col min="4872" max="5120" width="9.140625" style="29"/>
    <col min="5121" max="5121" width="18.5703125" style="29" customWidth="1"/>
    <col min="5122" max="5122" width="47.7109375" style="29" bestFit="1" customWidth="1"/>
    <col min="5123" max="5123" width="15.42578125" style="29" customWidth="1"/>
    <col min="5124" max="5124" width="13.7109375" style="29" customWidth="1"/>
    <col min="5125" max="5125" width="12.140625" style="29" customWidth="1"/>
    <col min="5126" max="5126" width="16.7109375" style="29" customWidth="1"/>
    <col min="5127" max="5127" width="104.42578125" style="29" customWidth="1"/>
    <col min="5128" max="5376" width="9.140625" style="29"/>
    <col min="5377" max="5377" width="18.5703125" style="29" customWidth="1"/>
    <col min="5378" max="5378" width="47.7109375" style="29" bestFit="1" customWidth="1"/>
    <col min="5379" max="5379" width="15.42578125" style="29" customWidth="1"/>
    <col min="5380" max="5380" width="13.7109375" style="29" customWidth="1"/>
    <col min="5381" max="5381" width="12.140625" style="29" customWidth="1"/>
    <col min="5382" max="5382" width="16.7109375" style="29" customWidth="1"/>
    <col min="5383" max="5383" width="104.42578125" style="29" customWidth="1"/>
    <col min="5384" max="5632" width="9.140625" style="29"/>
    <col min="5633" max="5633" width="18.5703125" style="29" customWidth="1"/>
    <col min="5634" max="5634" width="47.7109375" style="29" bestFit="1" customWidth="1"/>
    <col min="5635" max="5635" width="15.42578125" style="29" customWidth="1"/>
    <col min="5636" max="5636" width="13.7109375" style="29" customWidth="1"/>
    <col min="5637" max="5637" width="12.140625" style="29" customWidth="1"/>
    <col min="5638" max="5638" width="16.7109375" style="29" customWidth="1"/>
    <col min="5639" max="5639" width="104.42578125" style="29" customWidth="1"/>
    <col min="5640" max="5888" width="9.140625" style="29"/>
    <col min="5889" max="5889" width="18.5703125" style="29" customWidth="1"/>
    <col min="5890" max="5890" width="47.7109375" style="29" bestFit="1" customWidth="1"/>
    <col min="5891" max="5891" width="15.42578125" style="29" customWidth="1"/>
    <col min="5892" max="5892" width="13.7109375" style="29" customWidth="1"/>
    <col min="5893" max="5893" width="12.140625" style="29" customWidth="1"/>
    <col min="5894" max="5894" width="16.7109375" style="29" customWidth="1"/>
    <col min="5895" max="5895" width="104.42578125" style="29" customWidth="1"/>
    <col min="5896" max="6144" width="9.140625" style="29"/>
    <col min="6145" max="6145" width="18.5703125" style="29" customWidth="1"/>
    <col min="6146" max="6146" width="47.7109375" style="29" bestFit="1" customWidth="1"/>
    <col min="6147" max="6147" width="15.42578125" style="29" customWidth="1"/>
    <col min="6148" max="6148" width="13.7109375" style="29" customWidth="1"/>
    <col min="6149" max="6149" width="12.140625" style="29" customWidth="1"/>
    <col min="6150" max="6150" width="16.7109375" style="29" customWidth="1"/>
    <col min="6151" max="6151" width="104.42578125" style="29" customWidth="1"/>
    <col min="6152" max="6400" width="9.140625" style="29"/>
    <col min="6401" max="6401" width="18.5703125" style="29" customWidth="1"/>
    <col min="6402" max="6402" width="47.7109375" style="29" bestFit="1" customWidth="1"/>
    <col min="6403" max="6403" width="15.42578125" style="29" customWidth="1"/>
    <col min="6404" max="6404" width="13.7109375" style="29" customWidth="1"/>
    <col min="6405" max="6405" width="12.140625" style="29" customWidth="1"/>
    <col min="6406" max="6406" width="16.7109375" style="29" customWidth="1"/>
    <col min="6407" max="6407" width="104.42578125" style="29" customWidth="1"/>
    <col min="6408" max="6656" width="9.140625" style="29"/>
    <col min="6657" max="6657" width="18.5703125" style="29" customWidth="1"/>
    <col min="6658" max="6658" width="47.7109375" style="29" bestFit="1" customWidth="1"/>
    <col min="6659" max="6659" width="15.42578125" style="29" customWidth="1"/>
    <col min="6660" max="6660" width="13.7109375" style="29" customWidth="1"/>
    <col min="6661" max="6661" width="12.140625" style="29" customWidth="1"/>
    <col min="6662" max="6662" width="16.7109375" style="29" customWidth="1"/>
    <col min="6663" max="6663" width="104.42578125" style="29" customWidth="1"/>
    <col min="6664" max="6912" width="9.140625" style="29"/>
    <col min="6913" max="6913" width="18.5703125" style="29" customWidth="1"/>
    <col min="6914" max="6914" width="47.7109375" style="29" bestFit="1" customWidth="1"/>
    <col min="6915" max="6915" width="15.42578125" style="29" customWidth="1"/>
    <col min="6916" max="6916" width="13.7109375" style="29" customWidth="1"/>
    <col min="6917" max="6917" width="12.140625" style="29" customWidth="1"/>
    <col min="6918" max="6918" width="16.7109375" style="29" customWidth="1"/>
    <col min="6919" max="6919" width="104.42578125" style="29" customWidth="1"/>
    <col min="6920" max="7168" width="9.140625" style="29"/>
    <col min="7169" max="7169" width="18.5703125" style="29" customWidth="1"/>
    <col min="7170" max="7170" width="47.7109375" style="29" bestFit="1" customWidth="1"/>
    <col min="7171" max="7171" width="15.42578125" style="29" customWidth="1"/>
    <col min="7172" max="7172" width="13.7109375" style="29" customWidth="1"/>
    <col min="7173" max="7173" width="12.140625" style="29" customWidth="1"/>
    <col min="7174" max="7174" width="16.7109375" style="29" customWidth="1"/>
    <col min="7175" max="7175" width="104.42578125" style="29" customWidth="1"/>
    <col min="7176" max="7424" width="9.140625" style="29"/>
    <col min="7425" max="7425" width="18.5703125" style="29" customWidth="1"/>
    <col min="7426" max="7426" width="47.7109375" style="29" bestFit="1" customWidth="1"/>
    <col min="7427" max="7427" width="15.42578125" style="29" customWidth="1"/>
    <col min="7428" max="7428" width="13.7109375" style="29" customWidth="1"/>
    <col min="7429" max="7429" width="12.140625" style="29" customWidth="1"/>
    <col min="7430" max="7430" width="16.7109375" style="29" customWidth="1"/>
    <col min="7431" max="7431" width="104.42578125" style="29" customWidth="1"/>
    <col min="7432" max="7680" width="9.140625" style="29"/>
    <col min="7681" max="7681" width="18.5703125" style="29" customWidth="1"/>
    <col min="7682" max="7682" width="47.7109375" style="29" bestFit="1" customWidth="1"/>
    <col min="7683" max="7683" width="15.42578125" style="29" customWidth="1"/>
    <col min="7684" max="7684" width="13.7109375" style="29" customWidth="1"/>
    <col min="7685" max="7685" width="12.140625" style="29" customWidth="1"/>
    <col min="7686" max="7686" width="16.7109375" style="29" customWidth="1"/>
    <col min="7687" max="7687" width="104.42578125" style="29" customWidth="1"/>
    <col min="7688" max="7936" width="9.140625" style="29"/>
    <col min="7937" max="7937" width="18.5703125" style="29" customWidth="1"/>
    <col min="7938" max="7938" width="47.7109375" style="29" bestFit="1" customWidth="1"/>
    <col min="7939" max="7939" width="15.42578125" style="29" customWidth="1"/>
    <col min="7940" max="7940" width="13.7109375" style="29" customWidth="1"/>
    <col min="7941" max="7941" width="12.140625" style="29" customWidth="1"/>
    <col min="7942" max="7942" width="16.7109375" style="29" customWidth="1"/>
    <col min="7943" max="7943" width="104.42578125" style="29" customWidth="1"/>
    <col min="7944" max="8192" width="9.140625" style="29"/>
    <col min="8193" max="8193" width="18.5703125" style="29" customWidth="1"/>
    <col min="8194" max="8194" width="47.7109375" style="29" bestFit="1" customWidth="1"/>
    <col min="8195" max="8195" width="15.42578125" style="29" customWidth="1"/>
    <col min="8196" max="8196" width="13.7109375" style="29" customWidth="1"/>
    <col min="8197" max="8197" width="12.140625" style="29" customWidth="1"/>
    <col min="8198" max="8198" width="16.7109375" style="29" customWidth="1"/>
    <col min="8199" max="8199" width="104.42578125" style="29" customWidth="1"/>
    <col min="8200" max="8448" width="9.140625" style="29"/>
    <col min="8449" max="8449" width="18.5703125" style="29" customWidth="1"/>
    <col min="8450" max="8450" width="47.7109375" style="29" bestFit="1" customWidth="1"/>
    <col min="8451" max="8451" width="15.42578125" style="29" customWidth="1"/>
    <col min="8452" max="8452" width="13.7109375" style="29" customWidth="1"/>
    <col min="8453" max="8453" width="12.140625" style="29" customWidth="1"/>
    <col min="8454" max="8454" width="16.7109375" style="29" customWidth="1"/>
    <col min="8455" max="8455" width="104.42578125" style="29" customWidth="1"/>
    <col min="8456" max="8704" width="9.140625" style="29"/>
    <col min="8705" max="8705" width="18.5703125" style="29" customWidth="1"/>
    <col min="8706" max="8706" width="47.7109375" style="29" bestFit="1" customWidth="1"/>
    <col min="8707" max="8707" width="15.42578125" style="29" customWidth="1"/>
    <col min="8708" max="8708" width="13.7109375" style="29" customWidth="1"/>
    <col min="8709" max="8709" width="12.140625" style="29" customWidth="1"/>
    <col min="8710" max="8710" width="16.7109375" style="29" customWidth="1"/>
    <col min="8711" max="8711" width="104.42578125" style="29" customWidth="1"/>
    <col min="8712" max="8960" width="9.140625" style="29"/>
    <col min="8961" max="8961" width="18.5703125" style="29" customWidth="1"/>
    <col min="8962" max="8962" width="47.7109375" style="29" bestFit="1" customWidth="1"/>
    <col min="8963" max="8963" width="15.42578125" style="29" customWidth="1"/>
    <col min="8964" max="8964" width="13.7109375" style="29" customWidth="1"/>
    <col min="8965" max="8965" width="12.140625" style="29" customWidth="1"/>
    <col min="8966" max="8966" width="16.7109375" style="29" customWidth="1"/>
    <col min="8967" max="8967" width="104.42578125" style="29" customWidth="1"/>
    <col min="8968" max="9216" width="9.140625" style="29"/>
    <col min="9217" max="9217" width="18.5703125" style="29" customWidth="1"/>
    <col min="9218" max="9218" width="47.7109375" style="29" bestFit="1" customWidth="1"/>
    <col min="9219" max="9219" width="15.42578125" style="29" customWidth="1"/>
    <col min="9220" max="9220" width="13.7109375" style="29" customWidth="1"/>
    <col min="9221" max="9221" width="12.140625" style="29" customWidth="1"/>
    <col min="9222" max="9222" width="16.7109375" style="29" customWidth="1"/>
    <col min="9223" max="9223" width="104.42578125" style="29" customWidth="1"/>
    <col min="9224" max="9472" width="9.140625" style="29"/>
    <col min="9473" max="9473" width="18.5703125" style="29" customWidth="1"/>
    <col min="9474" max="9474" width="47.7109375" style="29" bestFit="1" customWidth="1"/>
    <col min="9475" max="9475" width="15.42578125" style="29" customWidth="1"/>
    <col min="9476" max="9476" width="13.7109375" style="29" customWidth="1"/>
    <col min="9477" max="9477" width="12.140625" style="29" customWidth="1"/>
    <col min="9478" max="9478" width="16.7109375" style="29" customWidth="1"/>
    <col min="9479" max="9479" width="104.42578125" style="29" customWidth="1"/>
    <col min="9480" max="9728" width="9.140625" style="29"/>
    <col min="9729" max="9729" width="18.5703125" style="29" customWidth="1"/>
    <col min="9730" max="9730" width="47.7109375" style="29" bestFit="1" customWidth="1"/>
    <col min="9731" max="9731" width="15.42578125" style="29" customWidth="1"/>
    <col min="9732" max="9732" width="13.7109375" style="29" customWidth="1"/>
    <col min="9733" max="9733" width="12.140625" style="29" customWidth="1"/>
    <col min="9734" max="9734" width="16.7109375" style="29" customWidth="1"/>
    <col min="9735" max="9735" width="104.42578125" style="29" customWidth="1"/>
    <col min="9736" max="9984" width="9.140625" style="29"/>
    <col min="9985" max="9985" width="18.5703125" style="29" customWidth="1"/>
    <col min="9986" max="9986" width="47.7109375" style="29" bestFit="1" customWidth="1"/>
    <col min="9987" max="9987" width="15.42578125" style="29" customWidth="1"/>
    <col min="9988" max="9988" width="13.7109375" style="29" customWidth="1"/>
    <col min="9989" max="9989" width="12.140625" style="29" customWidth="1"/>
    <col min="9990" max="9990" width="16.7109375" style="29" customWidth="1"/>
    <col min="9991" max="9991" width="104.42578125" style="29" customWidth="1"/>
    <col min="9992" max="10240" width="9.140625" style="29"/>
    <col min="10241" max="10241" width="18.5703125" style="29" customWidth="1"/>
    <col min="10242" max="10242" width="47.7109375" style="29" bestFit="1" customWidth="1"/>
    <col min="10243" max="10243" width="15.42578125" style="29" customWidth="1"/>
    <col min="10244" max="10244" width="13.7109375" style="29" customWidth="1"/>
    <col min="10245" max="10245" width="12.140625" style="29" customWidth="1"/>
    <col min="10246" max="10246" width="16.7109375" style="29" customWidth="1"/>
    <col min="10247" max="10247" width="104.42578125" style="29" customWidth="1"/>
    <col min="10248" max="10496" width="9.140625" style="29"/>
    <col min="10497" max="10497" width="18.5703125" style="29" customWidth="1"/>
    <col min="10498" max="10498" width="47.7109375" style="29" bestFit="1" customWidth="1"/>
    <col min="10499" max="10499" width="15.42578125" style="29" customWidth="1"/>
    <col min="10500" max="10500" width="13.7109375" style="29" customWidth="1"/>
    <col min="10501" max="10501" width="12.140625" style="29" customWidth="1"/>
    <col min="10502" max="10502" width="16.7109375" style="29" customWidth="1"/>
    <col min="10503" max="10503" width="104.42578125" style="29" customWidth="1"/>
    <col min="10504" max="10752" width="9.140625" style="29"/>
    <col min="10753" max="10753" width="18.5703125" style="29" customWidth="1"/>
    <col min="10754" max="10754" width="47.7109375" style="29" bestFit="1" customWidth="1"/>
    <col min="10755" max="10755" width="15.42578125" style="29" customWidth="1"/>
    <col min="10756" max="10756" width="13.7109375" style="29" customWidth="1"/>
    <col min="10757" max="10757" width="12.140625" style="29" customWidth="1"/>
    <col min="10758" max="10758" width="16.7109375" style="29" customWidth="1"/>
    <col min="10759" max="10759" width="104.42578125" style="29" customWidth="1"/>
    <col min="10760" max="11008" width="9.140625" style="29"/>
    <col min="11009" max="11009" width="18.5703125" style="29" customWidth="1"/>
    <col min="11010" max="11010" width="47.7109375" style="29" bestFit="1" customWidth="1"/>
    <col min="11011" max="11011" width="15.42578125" style="29" customWidth="1"/>
    <col min="11012" max="11012" width="13.7109375" style="29" customWidth="1"/>
    <col min="11013" max="11013" width="12.140625" style="29" customWidth="1"/>
    <col min="11014" max="11014" width="16.7109375" style="29" customWidth="1"/>
    <col min="11015" max="11015" width="104.42578125" style="29" customWidth="1"/>
    <col min="11016" max="11264" width="9.140625" style="29"/>
    <col min="11265" max="11265" width="18.5703125" style="29" customWidth="1"/>
    <col min="11266" max="11266" width="47.7109375" style="29" bestFit="1" customWidth="1"/>
    <col min="11267" max="11267" width="15.42578125" style="29" customWidth="1"/>
    <col min="11268" max="11268" width="13.7109375" style="29" customWidth="1"/>
    <col min="11269" max="11269" width="12.140625" style="29" customWidth="1"/>
    <col min="11270" max="11270" width="16.7109375" style="29" customWidth="1"/>
    <col min="11271" max="11271" width="104.42578125" style="29" customWidth="1"/>
    <col min="11272" max="11520" width="9.140625" style="29"/>
    <col min="11521" max="11521" width="18.5703125" style="29" customWidth="1"/>
    <col min="11522" max="11522" width="47.7109375" style="29" bestFit="1" customWidth="1"/>
    <col min="11523" max="11523" width="15.42578125" style="29" customWidth="1"/>
    <col min="11524" max="11524" width="13.7109375" style="29" customWidth="1"/>
    <col min="11525" max="11525" width="12.140625" style="29" customWidth="1"/>
    <col min="11526" max="11526" width="16.7109375" style="29" customWidth="1"/>
    <col min="11527" max="11527" width="104.42578125" style="29" customWidth="1"/>
    <col min="11528" max="11776" width="9.140625" style="29"/>
    <col min="11777" max="11777" width="18.5703125" style="29" customWidth="1"/>
    <col min="11778" max="11778" width="47.7109375" style="29" bestFit="1" customWidth="1"/>
    <col min="11779" max="11779" width="15.42578125" style="29" customWidth="1"/>
    <col min="11780" max="11780" width="13.7109375" style="29" customWidth="1"/>
    <col min="11781" max="11781" width="12.140625" style="29" customWidth="1"/>
    <col min="11782" max="11782" width="16.7109375" style="29" customWidth="1"/>
    <col min="11783" max="11783" width="104.42578125" style="29" customWidth="1"/>
    <col min="11784" max="12032" width="9.140625" style="29"/>
    <col min="12033" max="12033" width="18.5703125" style="29" customWidth="1"/>
    <col min="12034" max="12034" width="47.7109375" style="29" bestFit="1" customWidth="1"/>
    <col min="12035" max="12035" width="15.42578125" style="29" customWidth="1"/>
    <col min="12036" max="12036" width="13.7109375" style="29" customWidth="1"/>
    <col min="12037" max="12037" width="12.140625" style="29" customWidth="1"/>
    <col min="12038" max="12038" width="16.7109375" style="29" customWidth="1"/>
    <col min="12039" max="12039" width="104.42578125" style="29" customWidth="1"/>
    <col min="12040" max="12288" width="9.140625" style="29"/>
    <col min="12289" max="12289" width="18.5703125" style="29" customWidth="1"/>
    <col min="12290" max="12290" width="47.7109375" style="29" bestFit="1" customWidth="1"/>
    <col min="12291" max="12291" width="15.42578125" style="29" customWidth="1"/>
    <col min="12292" max="12292" width="13.7109375" style="29" customWidth="1"/>
    <col min="12293" max="12293" width="12.140625" style="29" customWidth="1"/>
    <col min="12294" max="12294" width="16.7109375" style="29" customWidth="1"/>
    <col min="12295" max="12295" width="104.42578125" style="29" customWidth="1"/>
    <col min="12296" max="12544" width="9.140625" style="29"/>
    <col min="12545" max="12545" width="18.5703125" style="29" customWidth="1"/>
    <col min="12546" max="12546" width="47.7109375" style="29" bestFit="1" customWidth="1"/>
    <col min="12547" max="12547" width="15.42578125" style="29" customWidth="1"/>
    <col min="12548" max="12548" width="13.7109375" style="29" customWidth="1"/>
    <col min="12549" max="12549" width="12.140625" style="29" customWidth="1"/>
    <col min="12550" max="12550" width="16.7109375" style="29" customWidth="1"/>
    <col min="12551" max="12551" width="104.42578125" style="29" customWidth="1"/>
    <col min="12552" max="12800" width="9.140625" style="29"/>
    <col min="12801" max="12801" width="18.5703125" style="29" customWidth="1"/>
    <col min="12802" max="12802" width="47.7109375" style="29" bestFit="1" customWidth="1"/>
    <col min="12803" max="12803" width="15.42578125" style="29" customWidth="1"/>
    <col min="12804" max="12804" width="13.7109375" style="29" customWidth="1"/>
    <col min="12805" max="12805" width="12.140625" style="29" customWidth="1"/>
    <col min="12806" max="12806" width="16.7109375" style="29" customWidth="1"/>
    <col min="12807" max="12807" width="104.42578125" style="29" customWidth="1"/>
    <col min="12808" max="13056" width="9.140625" style="29"/>
    <col min="13057" max="13057" width="18.5703125" style="29" customWidth="1"/>
    <col min="13058" max="13058" width="47.7109375" style="29" bestFit="1" customWidth="1"/>
    <col min="13059" max="13059" width="15.42578125" style="29" customWidth="1"/>
    <col min="13060" max="13060" width="13.7109375" style="29" customWidth="1"/>
    <col min="13061" max="13061" width="12.140625" style="29" customWidth="1"/>
    <col min="13062" max="13062" width="16.7109375" style="29" customWidth="1"/>
    <col min="13063" max="13063" width="104.42578125" style="29" customWidth="1"/>
    <col min="13064" max="13312" width="9.140625" style="29"/>
    <col min="13313" max="13313" width="18.5703125" style="29" customWidth="1"/>
    <col min="13314" max="13314" width="47.7109375" style="29" bestFit="1" customWidth="1"/>
    <col min="13315" max="13315" width="15.42578125" style="29" customWidth="1"/>
    <col min="13316" max="13316" width="13.7109375" style="29" customWidth="1"/>
    <col min="13317" max="13317" width="12.140625" style="29" customWidth="1"/>
    <col min="13318" max="13318" width="16.7109375" style="29" customWidth="1"/>
    <col min="13319" max="13319" width="104.42578125" style="29" customWidth="1"/>
    <col min="13320" max="13568" width="9.140625" style="29"/>
    <col min="13569" max="13569" width="18.5703125" style="29" customWidth="1"/>
    <col min="13570" max="13570" width="47.7109375" style="29" bestFit="1" customWidth="1"/>
    <col min="13571" max="13571" width="15.42578125" style="29" customWidth="1"/>
    <col min="13572" max="13572" width="13.7109375" style="29" customWidth="1"/>
    <col min="13573" max="13573" width="12.140625" style="29" customWidth="1"/>
    <col min="13574" max="13574" width="16.7109375" style="29" customWidth="1"/>
    <col min="13575" max="13575" width="104.42578125" style="29" customWidth="1"/>
    <col min="13576" max="13824" width="9.140625" style="29"/>
    <col min="13825" max="13825" width="18.5703125" style="29" customWidth="1"/>
    <col min="13826" max="13826" width="47.7109375" style="29" bestFit="1" customWidth="1"/>
    <col min="13827" max="13827" width="15.42578125" style="29" customWidth="1"/>
    <col min="13828" max="13828" width="13.7109375" style="29" customWidth="1"/>
    <col min="13829" max="13829" width="12.140625" style="29" customWidth="1"/>
    <col min="13830" max="13830" width="16.7109375" style="29" customWidth="1"/>
    <col min="13831" max="13831" width="104.42578125" style="29" customWidth="1"/>
    <col min="13832" max="14080" width="9.140625" style="29"/>
    <col min="14081" max="14081" width="18.5703125" style="29" customWidth="1"/>
    <col min="14082" max="14082" width="47.7109375" style="29" bestFit="1" customWidth="1"/>
    <col min="14083" max="14083" width="15.42578125" style="29" customWidth="1"/>
    <col min="14084" max="14084" width="13.7109375" style="29" customWidth="1"/>
    <col min="14085" max="14085" width="12.140625" style="29" customWidth="1"/>
    <col min="14086" max="14086" width="16.7109375" style="29" customWidth="1"/>
    <col min="14087" max="14087" width="104.42578125" style="29" customWidth="1"/>
    <col min="14088" max="14336" width="9.140625" style="29"/>
    <col min="14337" max="14337" width="18.5703125" style="29" customWidth="1"/>
    <col min="14338" max="14338" width="47.7109375" style="29" bestFit="1" customWidth="1"/>
    <col min="14339" max="14339" width="15.42578125" style="29" customWidth="1"/>
    <col min="14340" max="14340" width="13.7109375" style="29" customWidth="1"/>
    <col min="14341" max="14341" width="12.140625" style="29" customWidth="1"/>
    <col min="14342" max="14342" width="16.7109375" style="29" customWidth="1"/>
    <col min="14343" max="14343" width="104.42578125" style="29" customWidth="1"/>
    <col min="14344" max="14592" width="9.140625" style="29"/>
    <col min="14593" max="14593" width="18.5703125" style="29" customWidth="1"/>
    <col min="14594" max="14594" width="47.7109375" style="29" bestFit="1" customWidth="1"/>
    <col min="14595" max="14595" width="15.42578125" style="29" customWidth="1"/>
    <col min="14596" max="14596" width="13.7109375" style="29" customWidth="1"/>
    <col min="14597" max="14597" width="12.140625" style="29" customWidth="1"/>
    <col min="14598" max="14598" width="16.7109375" style="29" customWidth="1"/>
    <col min="14599" max="14599" width="104.42578125" style="29" customWidth="1"/>
    <col min="14600" max="14848" width="9.140625" style="29"/>
    <col min="14849" max="14849" width="18.5703125" style="29" customWidth="1"/>
    <col min="14850" max="14850" width="47.7109375" style="29" bestFit="1" customWidth="1"/>
    <col min="14851" max="14851" width="15.42578125" style="29" customWidth="1"/>
    <col min="14852" max="14852" width="13.7109375" style="29" customWidth="1"/>
    <col min="14853" max="14853" width="12.140625" style="29" customWidth="1"/>
    <col min="14854" max="14854" width="16.7109375" style="29" customWidth="1"/>
    <col min="14855" max="14855" width="104.42578125" style="29" customWidth="1"/>
    <col min="14856" max="15104" width="9.140625" style="29"/>
    <col min="15105" max="15105" width="18.5703125" style="29" customWidth="1"/>
    <col min="15106" max="15106" width="47.7109375" style="29" bestFit="1" customWidth="1"/>
    <col min="15107" max="15107" width="15.42578125" style="29" customWidth="1"/>
    <col min="15108" max="15108" width="13.7109375" style="29" customWidth="1"/>
    <col min="15109" max="15109" width="12.140625" style="29" customWidth="1"/>
    <col min="15110" max="15110" width="16.7109375" style="29" customWidth="1"/>
    <col min="15111" max="15111" width="104.42578125" style="29" customWidth="1"/>
    <col min="15112" max="15360" width="9.140625" style="29"/>
    <col min="15361" max="15361" width="18.5703125" style="29" customWidth="1"/>
    <col min="15362" max="15362" width="47.7109375" style="29" bestFit="1" customWidth="1"/>
    <col min="15363" max="15363" width="15.42578125" style="29" customWidth="1"/>
    <col min="15364" max="15364" width="13.7109375" style="29" customWidth="1"/>
    <col min="15365" max="15365" width="12.140625" style="29" customWidth="1"/>
    <col min="15366" max="15366" width="16.7109375" style="29" customWidth="1"/>
    <col min="15367" max="15367" width="104.42578125" style="29" customWidth="1"/>
    <col min="15368" max="15616" width="9.140625" style="29"/>
    <col min="15617" max="15617" width="18.5703125" style="29" customWidth="1"/>
    <col min="15618" max="15618" width="47.7109375" style="29" bestFit="1" customWidth="1"/>
    <col min="15619" max="15619" width="15.42578125" style="29" customWidth="1"/>
    <col min="15620" max="15620" width="13.7109375" style="29" customWidth="1"/>
    <col min="15621" max="15621" width="12.140625" style="29" customWidth="1"/>
    <col min="15622" max="15622" width="16.7109375" style="29" customWidth="1"/>
    <col min="15623" max="15623" width="104.42578125" style="29" customWidth="1"/>
    <col min="15624" max="15872" width="9.140625" style="29"/>
    <col min="15873" max="15873" width="18.5703125" style="29" customWidth="1"/>
    <col min="15874" max="15874" width="47.7109375" style="29" bestFit="1" customWidth="1"/>
    <col min="15875" max="15875" width="15.42578125" style="29" customWidth="1"/>
    <col min="15876" max="15876" width="13.7109375" style="29" customWidth="1"/>
    <col min="15877" max="15877" width="12.140625" style="29" customWidth="1"/>
    <col min="15878" max="15878" width="16.7109375" style="29" customWidth="1"/>
    <col min="15879" max="15879" width="104.42578125" style="29" customWidth="1"/>
    <col min="15880" max="16128" width="9.140625" style="29"/>
    <col min="16129" max="16129" width="18.5703125" style="29" customWidth="1"/>
    <col min="16130" max="16130" width="47.7109375" style="29" bestFit="1" customWidth="1"/>
    <col min="16131" max="16131" width="15.42578125" style="29" customWidth="1"/>
    <col min="16132" max="16132" width="13.7109375" style="29" customWidth="1"/>
    <col min="16133" max="16133" width="12.140625" style="29" customWidth="1"/>
    <col min="16134" max="16134" width="16.7109375" style="29" customWidth="1"/>
    <col min="16135" max="16135" width="104.42578125" style="29" customWidth="1"/>
    <col min="16136" max="16384" width="9.140625" style="29"/>
  </cols>
  <sheetData>
    <row r="1" spans="1:7" x14ac:dyDescent="0.25">
      <c r="A1" s="191" t="s">
        <v>134</v>
      </c>
      <c r="B1" s="191"/>
      <c r="C1" s="191"/>
      <c r="D1" s="191"/>
      <c r="E1" s="191"/>
      <c r="F1" s="191"/>
      <c r="G1" s="191"/>
    </row>
    <row r="2" spans="1:7" s="10" customFormat="1" ht="25.5" x14ac:dyDescent="0.25">
      <c r="A2" s="30" t="s">
        <v>0</v>
      </c>
      <c r="B2" s="30" t="s">
        <v>1</v>
      </c>
      <c r="C2" s="192" t="s">
        <v>2</v>
      </c>
      <c r="D2" s="193"/>
      <c r="E2" s="31" t="s">
        <v>3</v>
      </c>
      <c r="F2" s="32" t="s">
        <v>4</v>
      </c>
      <c r="G2" s="32" t="s">
        <v>5</v>
      </c>
    </row>
    <row r="3" spans="1:7" x14ac:dyDescent="0.25">
      <c r="A3" s="21" t="s">
        <v>56</v>
      </c>
      <c r="B3" s="33" t="s">
        <v>57</v>
      </c>
      <c r="C3" s="21">
        <v>5</v>
      </c>
      <c r="D3" s="21" t="s">
        <v>58</v>
      </c>
      <c r="E3" s="33"/>
      <c r="F3" s="33"/>
      <c r="G3" s="33"/>
    </row>
    <row r="4" spans="1:7" ht="106.5" customHeight="1" x14ac:dyDescent="0.25">
      <c r="A4" s="45"/>
      <c r="B4" s="34" t="s">
        <v>59</v>
      </c>
      <c r="C4" s="35"/>
      <c r="D4" s="35">
        <v>5</v>
      </c>
      <c r="E4" s="34"/>
      <c r="F4" s="34"/>
      <c r="G4" s="34" t="s">
        <v>80</v>
      </c>
    </row>
    <row r="5" spans="1:7" x14ac:dyDescent="0.25">
      <c r="A5" s="21" t="s">
        <v>60</v>
      </c>
      <c r="B5" s="33" t="s">
        <v>76</v>
      </c>
      <c r="C5" s="21">
        <v>5</v>
      </c>
      <c r="D5" s="21"/>
      <c r="E5" s="33"/>
      <c r="F5" s="33"/>
      <c r="G5" s="33"/>
    </row>
    <row r="6" spans="1:7" ht="89.25" x14ac:dyDescent="0.25">
      <c r="A6" s="45"/>
      <c r="B6" s="34" t="s">
        <v>77</v>
      </c>
      <c r="C6" s="35"/>
      <c r="D6" s="35">
        <v>5</v>
      </c>
      <c r="E6" s="34"/>
      <c r="F6" s="36"/>
      <c r="G6" s="36" t="s">
        <v>132</v>
      </c>
    </row>
    <row r="7" spans="1:7" x14ac:dyDescent="0.25">
      <c r="A7" s="21" t="s">
        <v>78</v>
      </c>
      <c r="B7" s="33" t="s">
        <v>79</v>
      </c>
      <c r="C7" s="21">
        <v>40</v>
      </c>
      <c r="D7" s="21" t="s">
        <v>58</v>
      </c>
      <c r="E7" s="33"/>
      <c r="F7" s="33"/>
      <c r="G7" s="33"/>
    </row>
    <row r="8" spans="1:7" ht="94.5" customHeight="1" x14ac:dyDescent="0.25">
      <c r="A8" s="45"/>
      <c r="B8" s="34" t="s">
        <v>61</v>
      </c>
      <c r="C8" s="35"/>
      <c r="D8" s="35" t="s">
        <v>578</v>
      </c>
      <c r="E8" s="34"/>
      <c r="F8" s="36"/>
      <c r="G8" s="36" t="s">
        <v>121</v>
      </c>
    </row>
    <row r="9" spans="1:7" x14ac:dyDescent="0.25">
      <c r="A9" s="21"/>
      <c r="B9" s="21" t="s">
        <v>51</v>
      </c>
      <c r="C9" s="21">
        <f xml:space="preserve"> SUM(C3:C8)</f>
        <v>50</v>
      </c>
      <c r="D9" s="112"/>
      <c r="E9" s="112">
        <f t="shared" ref="E9:F9" si="0" xml:space="preserve"> SUM(E3:E8)</f>
        <v>0</v>
      </c>
      <c r="F9" s="112">
        <f t="shared" si="0"/>
        <v>0</v>
      </c>
      <c r="G9" s="33"/>
    </row>
    <row r="10" spans="1:7" ht="13.5" thickBot="1" x14ac:dyDescent="0.3"/>
    <row r="11" spans="1:7" ht="18.75" thickBot="1" x14ac:dyDescent="0.3">
      <c r="A11" s="194" t="s">
        <v>597</v>
      </c>
      <c r="B11" s="195"/>
      <c r="C11" s="198"/>
      <c r="D11" s="199"/>
      <c r="E11" s="199"/>
    </row>
    <row r="12" spans="1:7" ht="90.75" customHeight="1" thickBot="1" x14ac:dyDescent="0.3">
      <c r="A12" s="196" t="s">
        <v>598</v>
      </c>
      <c r="B12" s="197"/>
      <c r="C12" s="200" t="s">
        <v>599</v>
      </c>
      <c r="D12" s="201"/>
      <c r="E12" s="201"/>
    </row>
    <row r="13" spans="1:7" ht="18.75" thickBot="1" x14ac:dyDescent="0.3">
      <c r="A13" s="196" t="s">
        <v>600</v>
      </c>
      <c r="B13" s="197"/>
      <c r="C13" s="200"/>
      <c r="D13" s="201"/>
      <c r="E13" s="201"/>
    </row>
    <row r="14" spans="1:7" ht="18.75" thickBot="1" x14ac:dyDescent="0.3">
      <c r="A14" s="196" t="s">
        <v>601</v>
      </c>
      <c r="B14" s="197"/>
      <c r="C14" s="200"/>
      <c r="D14" s="201"/>
      <c r="E14" s="201"/>
    </row>
    <row r="15" spans="1:7" ht="306.75" customHeight="1" thickBot="1" x14ac:dyDescent="0.3">
      <c r="A15" s="196" t="s">
        <v>602</v>
      </c>
      <c r="B15" s="197"/>
      <c r="C15" s="200" t="s">
        <v>603</v>
      </c>
      <c r="D15" s="201"/>
      <c r="E15" s="201"/>
    </row>
    <row r="16" spans="1:7" ht="54.75" customHeight="1" thickBot="1" x14ac:dyDescent="0.3">
      <c r="A16" s="196" t="s">
        <v>604</v>
      </c>
      <c r="B16" s="197"/>
      <c r="C16" s="200" t="s">
        <v>605</v>
      </c>
      <c r="D16" s="201"/>
      <c r="E16" s="201"/>
    </row>
    <row r="17" spans="1:5" ht="18.75" thickBot="1" x14ac:dyDescent="0.3">
      <c r="A17" s="196" t="s">
        <v>606</v>
      </c>
      <c r="B17" s="197"/>
      <c r="C17" s="200"/>
      <c r="D17" s="201"/>
      <c r="E17" s="201"/>
    </row>
    <row r="18" spans="1:5" ht="90.75" customHeight="1" thickBot="1" x14ac:dyDescent="0.3">
      <c r="A18" s="196" t="s">
        <v>607</v>
      </c>
      <c r="B18" s="197"/>
      <c r="C18" s="200" t="s">
        <v>608</v>
      </c>
      <c r="D18" s="201"/>
      <c r="E18" s="201"/>
    </row>
    <row r="19" spans="1:5" ht="54.75" customHeight="1" thickBot="1" x14ac:dyDescent="0.3">
      <c r="A19" s="196" t="s">
        <v>609</v>
      </c>
      <c r="B19" s="197"/>
      <c r="C19" s="200" t="s">
        <v>605</v>
      </c>
      <c r="D19" s="201"/>
      <c r="E19" s="201"/>
    </row>
    <row r="20" spans="1:5" ht="18.75" thickBot="1" x14ac:dyDescent="0.3">
      <c r="A20" s="196" t="s">
        <v>610</v>
      </c>
      <c r="B20" s="197"/>
      <c r="C20" s="200" t="s">
        <v>611</v>
      </c>
      <c r="D20" s="201"/>
      <c r="E20" s="201"/>
    </row>
    <row r="21" spans="1:5" ht="18.75" thickBot="1" x14ac:dyDescent="0.3">
      <c r="A21" s="196" t="s">
        <v>612</v>
      </c>
      <c r="B21" s="197"/>
      <c r="C21" s="200" t="s">
        <v>611</v>
      </c>
      <c r="D21" s="201"/>
      <c r="E21" s="201"/>
    </row>
    <row r="22" spans="1:5" ht="36" customHeight="1" thickBot="1" x14ac:dyDescent="0.3">
      <c r="A22" s="196" t="s">
        <v>613</v>
      </c>
      <c r="B22" s="197"/>
      <c r="C22" s="200" t="s">
        <v>614</v>
      </c>
      <c r="D22" s="201"/>
      <c r="E22" s="201"/>
    </row>
    <row r="23" spans="1:5" ht="18.75" thickBot="1" x14ac:dyDescent="0.3">
      <c r="A23" s="196" t="s">
        <v>615</v>
      </c>
      <c r="B23" s="197"/>
      <c r="C23" s="200"/>
      <c r="D23" s="201"/>
      <c r="E23" s="201"/>
    </row>
    <row r="24" spans="1:5" ht="18.75" thickBot="1" x14ac:dyDescent="0.3">
      <c r="A24" s="196" t="s">
        <v>616</v>
      </c>
      <c r="B24" s="197"/>
      <c r="C24" s="200"/>
      <c r="D24" s="201"/>
      <c r="E24" s="201"/>
    </row>
    <row r="25" spans="1:5" ht="72.75" customHeight="1" thickBot="1" x14ac:dyDescent="0.3">
      <c r="A25" s="137" t="s">
        <v>617</v>
      </c>
      <c r="B25" s="137"/>
      <c r="C25" s="200" t="s">
        <v>618</v>
      </c>
      <c r="D25" s="201"/>
      <c r="E25" s="201"/>
    </row>
    <row r="26" spans="1:5" ht="18.75" thickBot="1" x14ac:dyDescent="0.3">
      <c r="A26" s="196" t="s">
        <v>619</v>
      </c>
      <c r="B26" s="197"/>
      <c r="C26" s="200"/>
      <c r="D26" s="201"/>
      <c r="E26" s="201"/>
    </row>
    <row r="27" spans="1:5" ht="36" customHeight="1" thickBot="1" x14ac:dyDescent="0.3">
      <c r="A27" s="196" t="s">
        <v>620</v>
      </c>
      <c r="B27" s="197"/>
      <c r="C27" s="200" t="s">
        <v>621</v>
      </c>
      <c r="D27" s="201"/>
      <c r="E27" s="201"/>
    </row>
  </sheetData>
  <mergeCells count="35">
    <mergeCell ref="C27:E27"/>
    <mergeCell ref="A24:B24"/>
    <mergeCell ref="A26:B26"/>
    <mergeCell ref="A27:B27"/>
    <mergeCell ref="C14:E14"/>
    <mergeCell ref="C15:E15"/>
    <mergeCell ref="C24:E24"/>
    <mergeCell ref="C25:E25"/>
    <mergeCell ref="C26:E26"/>
    <mergeCell ref="C16:E16"/>
    <mergeCell ref="C17:E17"/>
    <mergeCell ref="C18:E18"/>
    <mergeCell ref="C19:E19"/>
    <mergeCell ref="C20:E20"/>
    <mergeCell ref="C21:E21"/>
    <mergeCell ref="C22:E22"/>
    <mergeCell ref="C23:E23"/>
    <mergeCell ref="A19:B19"/>
    <mergeCell ref="A20:B20"/>
    <mergeCell ref="A21:B21"/>
    <mergeCell ref="A22:B22"/>
    <mergeCell ref="A23:B23"/>
    <mergeCell ref="A14:B14"/>
    <mergeCell ref="A15:B15"/>
    <mergeCell ref="A16:B16"/>
    <mergeCell ref="A17:B17"/>
    <mergeCell ref="A18:B18"/>
    <mergeCell ref="A1:G1"/>
    <mergeCell ref="C2:D2"/>
    <mergeCell ref="A11:B11"/>
    <mergeCell ref="A12:B12"/>
    <mergeCell ref="A13:B13"/>
    <mergeCell ref="C11:E11"/>
    <mergeCell ref="C12:E12"/>
    <mergeCell ref="C13:E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4"/>
  <sheetViews>
    <sheetView topLeftCell="A4" zoomScale="80" zoomScaleNormal="80" workbookViewId="0">
      <selection activeCell="B19" sqref="B19"/>
    </sheetView>
  </sheetViews>
  <sheetFormatPr defaultRowHeight="12.75" x14ac:dyDescent="0.25"/>
  <cols>
    <col min="1" max="1" width="15.85546875" style="10" customWidth="1"/>
    <col min="2" max="2" width="63.85546875" style="12" customWidth="1"/>
    <col min="3" max="3" width="8.5703125" style="11" customWidth="1"/>
    <col min="4" max="4" width="8.5703125" style="10" customWidth="1"/>
    <col min="5" max="6" width="16.5703125" style="12" customWidth="1"/>
    <col min="7" max="7" width="44.140625" style="12" customWidth="1"/>
    <col min="8" max="16384" width="9.140625" style="12"/>
  </cols>
  <sheetData>
    <row r="1" spans="1:7" x14ac:dyDescent="0.25">
      <c r="A1" s="210" t="s">
        <v>135</v>
      </c>
      <c r="B1" s="210"/>
      <c r="C1" s="210"/>
      <c r="D1" s="210"/>
      <c r="E1" s="210"/>
      <c r="F1" s="210"/>
      <c r="G1" s="210"/>
    </row>
    <row r="2" spans="1:7" s="11" customFormat="1" ht="25.5" x14ac:dyDescent="0.25">
      <c r="A2" s="13" t="s">
        <v>0</v>
      </c>
      <c r="B2" s="13" t="s">
        <v>1</v>
      </c>
      <c r="C2" s="173" t="s">
        <v>2</v>
      </c>
      <c r="D2" s="173"/>
      <c r="E2" s="13" t="s">
        <v>3</v>
      </c>
      <c r="F2" s="13" t="s">
        <v>4</v>
      </c>
      <c r="G2" s="13" t="s">
        <v>5</v>
      </c>
    </row>
    <row r="3" spans="1:7" ht="63.75" x14ac:dyDescent="0.25">
      <c r="A3" s="21" t="s">
        <v>81</v>
      </c>
      <c r="B3" s="37" t="s">
        <v>127</v>
      </c>
      <c r="C3" s="21"/>
      <c r="D3" s="15"/>
      <c r="E3" s="14"/>
      <c r="F3" s="14"/>
      <c r="G3" s="14"/>
    </row>
    <row r="4" spans="1:7" ht="25.5" x14ac:dyDescent="0.25">
      <c r="A4" s="21" t="s">
        <v>82</v>
      </c>
      <c r="B4" s="37" t="s">
        <v>128</v>
      </c>
      <c r="C4" s="21">
        <v>40</v>
      </c>
      <c r="D4" s="15"/>
      <c r="E4" s="14"/>
      <c r="F4" s="14"/>
      <c r="G4" s="14"/>
    </row>
    <row r="5" spans="1:7" ht="15" customHeight="1" x14ac:dyDescent="0.25">
      <c r="A5" s="207" t="s">
        <v>119</v>
      </c>
      <c r="B5" s="208"/>
      <c r="C5" s="208"/>
      <c r="D5" s="209"/>
      <c r="E5" s="9"/>
      <c r="F5" s="9"/>
      <c r="G5" s="9"/>
    </row>
    <row r="6" spans="1:7" x14ac:dyDescent="0.25">
      <c r="A6" s="21" t="s">
        <v>83</v>
      </c>
      <c r="B6" s="37" t="s">
        <v>120</v>
      </c>
      <c r="C6" s="21">
        <v>40</v>
      </c>
      <c r="D6" s="15"/>
      <c r="E6" s="14"/>
      <c r="F6" s="14"/>
      <c r="G6" s="14"/>
    </row>
    <row r="7" spans="1:7" x14ac:dyDescent="0.25">
      <c r="A7" s="51" t="s">
        <v>85</v>
      </c>
      <c r="B7" s="52" t="s">
        <v>84</v>
      </c>
      <c r="C7" s="51"/>
      <c r="D7" s="51">
        <v>10</v>
      </c>
      <c r="E7" s="53"/>
      <c r="F7" s="53"/>
      <c r="G7" s="53"/>
    </row>
    <row r="8" spans="1:7" x14ac:dyDescent="0.25">
      <c r="A8" s="169" t="s">
        <v>88</v>
      </c>
      <c r="B8" s="9" t="s">
        <v>86</v>
      </c>
      <c r="C8" s="204"/>
      <c r="D8" s="167"/>
      <c r="E8" s="167"/>
      <c r="F8" s="167"/>
      <c r="G8" s="159" t="s">
        <v>96</v>
      </c>
    </row>
    <row r="9" spans="1:7" x14ac:dyDescent="0.25">
      <c r="A9" s="169"/>
      <c r="B9" s="9" t="s">
        <v>87</v>
      </c>
      <c r="C9" s="205"/>
      <c r="D9" s="172"/>
      <c r="E9" s="172"/>
      <c r="F9" s="172"/>
      <c r="G9" s="159"/>
    </row>
    <row r="10" spans="1:7" x14ac:dyDescent="0.25">
      <c r="A10" s="169" t="s">
        <v>95</v>
      </c>
      <c r="B10" s="169"/>
      <c r="C10" s="205"/>
      <c r="D10" s="172"/>
      <c r="E10" s="172"/>
      <c r="F10" s="172"/>
      <c r="G10" s="159"/>
    </row>
    <row r="11" spans="1:7" x14ac:dyDescent="0.25">
      <c r="A11" s="169" t="s">
        <v>91</v>
      </c>
      <c r="B11" s="9" t="s">
        <v>89</v>
      </c>
      <c r="C11" s="205"/>
      <c r="D11" s="172"/>
      <c r="E11" s="172"/>
      <c r="F11" s="172"/>
      <c r="G11" s="159"/>
    </row>
    <row r="12" spans="1:7" x14ac:dyDescent="0.25">
      <c r="A12" s="169"/>
      <c r="B12" s="9" t="s">
        <v>90</v>
      </c>
      <c r="C12" s="205"/>
      <c r="D12" s="172"/>
      <c r="E12" s="172"/>
      <c r="F12" s="172"/>
      <c r="G12" s="159"/>
    </row>
    <row r="13" spans="1:7" x14ac:dyDescent="0.25">
      <c r="A13" s="169" t="s">
        <v>95</v>
      </c>
      <c r="B13" s="169"/>
      <c r="C13" s="205"/>
      <c r="D13" s="172"/>
      <c r="E13" s="172"/>
      <c r="F13" s="172"/>
      <c r="G13" s="159"/>
    </row>
    <row r="14" spans="1:7" x14ac:dyDescent="0.25">
      <c r="A14" s="169" t="s">
        <v>94</v>
      </c>
      <c r="B14" s="9" t="s">
        <v>92</v>
      </c>
      <c r="C14" s="205"/>
      <c r="D14" s="172"/>
      <c r="E14" s="172"/>
      <c r="F14" s="172"/>
      <c r="G14" s="159"/>
    </row>
    <row r="15" spans="1:7" x14ac:dyDescent="0.25">
      <c r="A15" s="169"/>
      <c r="B15" s="9" t="s">
        <v>93</v>
      </c>
      <c r="C15" s="206"/>
      <c r="D15" s="168"/>
      <c r="E15" s="168"/>
      <c r="F15" s="168"/>
      <c r="G15" s="159"/>
    </row>
    <row r="16" spans="1:7" ht="25.5" x14ac:dyDescent="0.25">
      <c r="A16" s="51" t="s">
        <v>97</v>
      </c>
      <c r="B16" s="52" t="s">
        <v>122</v>
      </c>
      <c r="C16" s="51"/>
      <c r="D16" s="51">
        <v>5</v>
      </c>
      <c r="E16" s="53"/>
      <c r="F16" s="53"/>
      <c r="G16" s="53"/>
    </row>
    <row r="17" spans="1:7" ht="25.5" x14ac:dyDescent="0.25">
      <c r="A17" s="16"/>
      <c r="B17" s="9" t="s">
        <v>98</v>
      </c>
      <c r="C17" s="17"/>
      <c r="D17" s="16">
        <v>2</v>
      </c>
      <c r="E17" s="9"/>
      <c r="F17" s="9"/>
      <c r="G17" s="9"/>
    </row>
    <row r="18" spans="1:7" x14ac:dyDescent="0.25">
      <c r="A18" s="20"/>
      <c r="B18" s="9" t="s">
        <v>123</v>
      </c>
      <c r="C18" s="17"/>
      <c r="D18" s="16">
        <v>3</v>
      </c>
      <c r="E18" s="9"/>
      <c r="F18" s="9"/>
      <c r="G18" s="9"/>
    </row>
    <row r="19" spans="1:7" ht="25.5" x14ac:dyDescent="0.25">
      <c r="A19" s="51" t="s">
        <v>99</v>
      </c>
      <c r="B19" s="52" t="s">
        <v>124</v>
      </c>
      <c r="C19" s="51"/>
      <c r="D19" s="51">
        <v>10</v>
      </c>
      <c r="E19" s="53"/>
      <c r="F19" s="53"/>
      <c r="G19" s="53"/>
    </row>
    <row r="20" spans="1:7" ht="51" x14ac:dyDescent="0.25">
      <c r="A20" s="16" t="s">
        <v>82</v>
      </c>
      <c r="B20" s="9" t="s">
        <v>100</v>
      </c>
      <c r="C20" s="17"/>
      <c r="D20" s="16"/>
      <c r="E20" s="9"/>
      <c r="F20" s="9"/>
      <c r="G20" s="159" t="s">
        <v>101</v>
      </c>
    </row>
    <row r="21" spans="1:7" ht="51" x14ac:dyDescent="0.25">
      <c r="A21" s="16" t="s">
        <v>83</v>
      </c>
      <c r="B21" s="9" t="s">
        <v>125</v>
      </c>
      <c r="C21" s="17"/>
      <c r="D21" s="16"/>
      <c r="E21" s="9"/>
      <c r="F21" s="9"/>
      <c r="G21" s="159"/>
    </row>
    <row r="22" spans="1:7" x14ac:dyDescent="0.25">
      <c r="A22" s="51" t="s">
        <v>102</v>
      </c>
      <c r="B22" s="52" t="s">
        <v>104</v>
      </c>
      <c r="C22" s="51"/>
      <c r="D22" s="51">
        <v>15</v>
      </c>
      <c r="E22" s="53"/>
      <c r="F22" s="53"/>
      <c r="G22" s="53"/>
    </row>
    <row r="23" spans="1:7" ht="28.5" customHeight="1" x14ac:dyDescent="0.25">
      <c r="A23" s="169" t="s">
        <v>110</v>
      </c>
      <c r="B23" s="9" t="s">
        <v>105</v>
      </c>
      <c r="C23" s="204"/>
      <c r="D23" s="167">
        <v>10</v>
      </c>
      <c r="E23" s="167"/>
      <c r="F23" s="167"/>
      <c r="G23" s="154" t="s">
        <v>126</v>
      </c>
    </row>
    <row r="24" spans="1:7" ht="28.5" customHeight="1" x14ac:dyDescent="0.25">
      <c r="A24" s="169"/>
      <c r="B24" s="9" t="s">
        <v>106</v>
      </c>
      <c r="C24" s="205"/>
      <c r="D24" s="172"/>
      <c r="E24" s="172"/>
      <c r="F24" s="172"/>
      <c r="G24" s="155"/>
    </row>
    <row r="25" spans="1:7" ht="28.5" customHeight="1" x14ac:dyDescent="0.25">
      <c r="A25" s="169"/>
      <c r="B25" s="9" t="s">
        <v>107</v>
      </c>
      <c r="C25" s="205"/>
      <c r="D25" s="172"/>
      <c r="E25" s="172"/>
      <c r="F25" s="172"/>
      <c r="G25" s="155"/>
    </row>
    <row r="26" spans="1:7" ht="28.5" customHeight="1" x14ac:dyDescent="0.25">
      <c r="A26" s="169"/>
      <c r="B26" s="9" t="s">
        <v>108</v>
      </c>
      <c r="C26" s="206"/>
      <c r="D26" s="168"/>
      <c r="E26" s="168"/>
      <c r="F26" s="168"/>
      <c r="G26" s="155"/>
    </row>
    <row r="27" spans="1:7" ht="25.5" x14ac:dyDescent="0.25">
      <c r="A27" s="16" t="s">
        <v>111</v>
      </c>
      <c r="B27" s="9" t="s">
        <v>109</v>
      </c>
      <c r="C27" s="17"/>
      <c r="D27" s="16">
        <v>5</v>
      </c>
      <c r="E27" s="9"/>
      <c r="F27" s="9"/>
      <c r="G27" s="156"/>
    </row>
    <row r="28" spans="1:7" x14ac:dyDescent="0.25">
      <c r="A28" s="21" t="s">
        <v>112</v>
      </c>
      <c r="B28" s="37" t="s">
        <v>103</v>
      </c>
      <c r="C28" s="21">
        <v>10</v>
      </c>
      <c r="D28" s="15"/>
      <c r="E28" s="14"/>
      <c r="F28" s="14"/>
      <c r="G28" s="14"/>
    </row>
    <row r="29" spans="1:7" s="41" customFormat="1" ht="188.25" customHeight="1" x14ac:dyDescent="0.25">
      <c r="A29" s="152"/>
      <c r="B29" s="202" t="s">
        <v>130</v>
      </c>
      <c r="C29" s="152"/>
      <c r="D29" s="146">
        <v>10</v>
      </c>
      <c r="E29" s="146"/>
      <c r="F29" s="146"/>
      <c r="G29" s="202" t="s">
        <v>129</v>
      </c>
    </row>
    <row r="30" spans="1:7" s="41" customFormat="1" ht="246.75" customHeight="1" x14ac:dyDescent="0.25">
      <c r="A30" s="153"/>
      <c r="B30" s="203"/>
      <c r="C30" s="153"/>
      <c r="D30" s="148"/>
      <c r="E30" s="148"/>
      <c r="F30" s="148"/>
      <c r="G30" s="203"/>
    </row>
    <row r="31" spans="1:7" ht="102" x14ac:dyDescent="0.25">
      <c r="A31" s="21" t="s">
        <v>113</v>
      </c>
      <c r="B31" s="37" t="s">
        <v>114</v>
      </c>
      <c r="C31" s="21">
        <v>15</v>
      </c>
      <c r="D31" s="15"/>
      <c r="E31" s="14"/>
      <c r="F31" s="14"/>
      <c r="G31" s="14" t="s">
        <v>131</v>
      </c>
    </row>
    <row r="32" spans="1:7" x14ac:dyDescent="0.25">
      <c r="A32" s="21" t="s">
        <v>115</v>
      </c>
      <c r="B32" s="37" t="s">
        <v>116</v>
      </c>
      <c r="C32" s="21">
        <v>10</v>
      </c>
      <c r="D32" s="15"/>
      <c r="E32" s="14"/>
      <c r="F32" s="14"/>
      <c r="G32" s="14"/>
    </row>
    <row r="33" spans="1:7" ht="63.75" x14ac:dyDescent="0.25">
      <c r="A33" s="16"/>
      <c r="B33" s="9" t="s">
        <v>117</v>
      </c>
      <c r="C33" s="17"/>
      <c r="D33" s="16">
        <v>10</v>
      </c>
      <c r="E33" s="9"/>
      <c r="F33" s="9"/>
      <c r="G33" s="9" t="s">
        <v>118</v>
      </c>
    </row>
    <row r="34" spans="1:7" x14ac:dyDescent="0.25">
      <c r="A34" s="15"/>
      <c r="B34" s="21" t="s">
        <v>51</v>
      </c>
      <c r="C34" s="21">
        <f>SUM(C6:C33)</f>
        <v>75</v>
      </c>
      <c r="D34" s="112" t="s">
        <v>622</v>
      </c>
      <c r="E34" s="112">
        <f t="shared" ref="E34:F34" si="0">SUM(E6:E33)</f>
        <v>0</v>
      </c>
      <c r="F34" s="112">
        <f t="shared" si="0"/>
        <v>0</v>
      </c>
      <c r="G34" s="14"/>
    </row>
  </sheetData>
  <mergeCells count="27">
    <mergeCell ref="C2:D2"/>
    <mergeCell ref="A1:G1"/>
    <mergeCell ref="A8:A9"/>
    <mergeCell ref="A11:A12"/>
    <mergeCell ref="A14:A15"/>
    <mergeCell ref="A10:B10"/>
    <mergeCell ref="A13:B13"/>
    <mergeCell ref="G8:G15"/>
    <mergeCell ref="C23:C26"/>
    <mergeCell ref="G20:G21"/>
    <mergeCell ref="A23:A26"/>
    <mergeCell ref="A5:D5"/>
    <mergeCell ref="C8:C15"/>
    <mergeCell ref="D8:D15"/>
    <mergeCell ref="E8:E15"/>
    <mergeCell ref="F8:F15"/>
    <mergeCell ref="D23:D26"/>
    <mergeCell ref="E23:E26"/>
    <mergeCell ref="F23:F26"/>
    <mergeCell ref="G23:G27"/>
    <mergeCell ref="G29:G30"/>
    <mergeCell ref="D29:D30"/>
    <mergeCell ref="C29:C30"/>
    <mergeCell ref="B29:B30"/>
    <mergeCell ref="A29:A30"/>
    <mergeCell ref="E29:E30"/>
    <mergeCell ref="F29:F30"/>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E8944CD168434CBCB81E699E4DE9E1" ma:contentTypeVersion="13" ma:contentTypeDescription="Create a new document." ma:contentTypeScope="" ma:versionID="bb32a88bfed03504cc294f4189b637da">
  <xsd:schema xmlns:xsd="http://www.w3.org/2001/XMLSchema" xmlns:xs="http://www.w3.org/2001/XMLSchema" xmlns:p="http://schemas.microsoft.com/office/2006/metadata/properties" xmlns:ns2="bab3a529-933d-437d-b082-9303aaf4554e" xmlns:ns3="f444720d-ce56-4ec7-9165-7e4bad141b98" targetNamespace="http://schemas.microsoft.com/office/2006/metadata/properties" ma:root="true" ma:fieldsID="cb17a7d6a4cb96e4858e65b9d234696c" ns2:_="" ns3:_="">
    <xsd:import namespace="bab3a529-933d-437d-b082-9303aaf4554e"/>
    <xsd:import namespace="f444720d-ce56-4ec7-9165-7e4bad141b9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b3a529-933d-437d-b082-9303aaf455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444720d-ce56-4ec7-9165-7e4bad141b9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CD0BFC-9AC9-4545-8D1D-CB4961F50DEC}"/>
</file>

<file path=customXml/itemProps2.xml><?xml version="1.0" encoding="utf-8"?>
<ds:datastoreItem xmlns:ds="http://schemas.openxmlformats.org/officeDocument/2006/customXml" ds:itemID="{BA41E2F3-477A-4773-9B80-B535003813AD}">
  <ds:schemaRefs>
    <ds:schemaRef ds:uri="http://purl.org/dc/dcmitype/"/>
    <ds:schemaRef ds:uri="bab3a529-933d-437d-b082-9303aaf4554e"/>
    <ds:schemaRef ds:uri="http://www.w3.org/XML/1998/namespace"/>
    <ds:schemaRef ds:uri="http://schemas.microsoft.com/office/infopath/2007/PartnerControls"/>
    <ds:schemaRef ds:uri="http://purl.org/dc/terms/"/>
    <ds:schemaRef ds:uri="http://schemas.microsoft.com/office/2006/metadata/properties"/>
    <ds:schemaRef ds:uri="http://schemas.microsoft.com/office/2006/documentManagement/types"/>
    <ds:schemaRef ds:uri="http://schemas.openxmlformats.org/package/2006/metadata/core-properties"/>
    <ds:schemaRef ds:uri="f444720d-ce56-4ec7-9165-7e4bad141b98"/>
    <ds:schemaRef ds:uri="http://purl.org/dc/elements/1.1/"/>
  </ds:schemaRefs>
</ds:datastoreItem>
</file>

<file path=customXml/itemProps3.xml><?xml version="1.0" encoding="utf-8"?>
<ds:datastoreItem xmlns:ds="http://schemas.openxmlformats.org/officeDocument/2006/customXml" ds:itemID="{F9EA801E-408A-49B1-B24E-CEDD1567B76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Summary </vt:lpstr>
      <vt:lpstr>EE</vt:lpstr>
      <vt:lpstr>WC</vt:lpstr>
      <vt:lpstr>RE</vt:lpstr>
      <vt:lpstr>GHG</vt:lpstr>
      <vt:lpstr>WM</vt:lpstr>
      <vt:lpstr>MCR</vt:lpstr>
      <vt:lpstr>GSC</vt:lpstr>
      <vt:lpstr>PSLCA</vt:lpstr>
      <vt:lpstr>IE</vt:lpstr>
      <vt:lpstr>GI</vt:lpstr>
      <vt:lpstr>'Summary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SHINY SAMUEL</dc:creator>
  <cp:lastModifiedBy>Mara Venkata Sai Kireeti</cp:lastModifiedBy>
  <dcterms:created xsi:type="dcterms:W3CDTF">2018-07-18T08:35:38Z</dcterms:created>
  <dcterms:modified xsi:type="dcterms:W3CDTF">2020-07-15T05:20:09Z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0x01010044E8944CD168434CBCB81E699E4DE9E1</vt:lpwstr>
  </property>
</Properties>
</file>